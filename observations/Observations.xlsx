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shpanta/Documents/GitHub/imperial-ai-ml-capstone-project/observations/"/>
    </mc:Choice>
  </mc:AlternateContent>
  <xr:revisionPtr revIDLastSave="0" documentId="8_{F3261A7C-955B-9144-B31F-C9407AD8F8C7}" xr6:coauthVersionLast="47" xr6:coauthVersionMax="47" xr10:uidLastSave="{00000000-0000-0000-0000-000000000000}"/>
  <bookViews>
    <workbookView xWindow="0" yWindow="680" windowWidth="30240" windowHeight="17540" xr2:uid="{879C9F3D-DEC7-554E-8B9E-2E328A028C98}"/>
  </bookViews>
  <sheets>
    <sheet name="Summary" sheetId="3" r:id="rId1"/>
    <sheet name="Week1" sheetId="1" r:id="rId2"/>
    <sheet name="Week2" sheetId="2" r:id="rId3"/>
    <sheet name="Week3" sheetId="5" r:id="rId4"/>
    <sheet name="Week4" sheetId="6" r:id="rId5"/>
    <sheet name="Week5" sheetId="7" r:id="rId6"/>
    <sheet name="Week6" sheetId="8" r:id="rId7"/>
    <sheet name="Week7" sheetId="9" r:id="rId8"/>
    <sheet name="Week8" sheetId="10" r:id="rId9"/>
    <sheet name="Week9" sheetId="11" r:id="rId10"/>
    <sheet name="Week10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2" l="1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K9" i="12"/>
  <c r="G9" i="12"/>
  <c r="H9" i="12" s="1"/>
  <c r="K8" i="12"/>
  <c r="G8" i="12"/>
  <c r="H8" i="12" s="1"/>
  <c r="K7" i="12"/>
  <c r="G7" i="12"/>
  <c r="H7" i="12" s="1"/>
  <c r="K6" i="12"/>
  <c r="G6" i="12"/>
  <c r="H6" i="12" s="1"/>
  <c r="K5" i="12"/>
  <c r="G5" i="12"/>
  <c r="H5" i="12" s="1"/>
  <c r="K4" i="12"/>
  <c r="G4" i="12"/>
  <c r="H4" i="12" s="1"/>
  <c r="K3" i="12"/>
  <c r="G3" i="12"/>
  <c r="H3" i="12" s="1"/>
  <c r="K2" i="12"/>
  <c r="G2" i="12"/>
  <c r="H2" i="12" s="1"/>
  <c r="J28" i="3"/>
  <c r="J29" i="3"/>
  <c r="J30" i="3"/>
  <c r="J31" i="3"/>
  <c r="J32" i="3"/>
  <c r="J33" i="3"/>
  <c r="J34" i="3"/>
  <c r="J27" i="3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1" i="11"/>
  <c r="H21" i="11" s="1"/>
  <c r="G20" i="11"/>
  <c r="H20" i="11" s="1"/>
  <c r="G19" i="11"/>
  <c r="H19" i="11" s="1"/>
  <c r="G18" i="11"/>
  <c r="H18" i="11" s="1"/>
  <c r="G17" i="11"/>
  <c r="H17" i="11" s="1"/>
  <c r="G16" i="11"/>
  <c r="H16" i="11" s="1"/>
  <c r="G15" i="11"/>
  <c r="H15" i="11" s="1"/>
  <c r="G14" i="11"/>
  <c r="H14" i="11" s="1"/>
  <c r="K9" i="11"/>
  <c r="G9" i="11"/>
  <c r="H9" i="11" s="1"/>
  <c r="K8" i="11"/>
  <c r="G8" i="11"/>
  <c r="H8" i="11" s="1"/>
  <c r="K7" i="11"/>
  <c r="G7" i="11"/>
  <c r="H7" i="11" s="1"/>
  <c r="K6" i="11"/>
  <c r="G6" i="11"/>
  <c r="H6" i="11" s="1"/>
  <c r="K5" i="11"/>
  <c r="G5" i="11"/>
  <c r="H5" i="11" s="1"/>
  <c r="K4" i="11"/>
  <c r="G4" i="11"/>
  <c r="H4" i="11" s="1"/>
  <c r="K3" i="11"/>
  <c r="G3" i="11"/>
  <c r="H3" i="11" s="1"/>
  <c r="K2" i="11"/>
  <c r="G2" i="11"/>
  <c r="H2" i="11" s="1"/>
  <c r="I28" i="3"/>
  <c r="I29" i="3"/>
  <c r="I30" i="3"/>
  <c r="I31" i="3"/>
  <c r="I32" i="3"/>
  <c r="I33" i="3"/>
  <c r="I34" i="3"/>
  <c r="I27" i="3"/>
  <c r="G35" i="10"/>
  <c r="H35" i="10" s="1"/>
  <c r="G34" i="10"/>
  <c r="H34" i="10" s="1"/>
  <c r="G33" i="10"/>
  <c r="H33" i="10" s="1"/>
  <c r="G32" i="10"/>
  <c r="H32" i="10" s="1"/>
  <c r="G31" i="10"/>
  <c r="H31" i="10" s="1"/>
  <c r="G30" i="10"/>
  <c r="H30" i="10" s="1"/>
  <c r="G29" i="10"/>
  <c r="H29" i="10" s="1"/>
  <c r="G28" i="10"/>
  <c r="H28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K9" i="10"/>
  <c r="G9" i="10"/>
  <c r="H9" i="10" s="1"/>
  <c r="K8" i="10"/>
  <c r="G8" i="10"/>
  <c r="H8" i="10" s="1"/>
  <c r="K7" i="10"/>
  <c r="G7" i="10"/>
  <c r="H7" i="10" s="1"/>
  <c r="K6" i="10"/>
  <c r="G6" i="10"/>
  <c r="H6" i="10" s="1"/>
  <c r="K5" i="10"/>
  <c r="G5" i="10"/>
  <c r="H5" i="10" s="1"/>
  <c r="K4" i="10"/>
  <c r="G4" i="10"/>
  <c r="H4" i="10" s="1"/>
  <c r="K3" i="10"/>
  <c r="G3" i="10"/>
  <c r="H3" i="10" s="1"/>
  <c r="K2" i="10"/>
  <c r="G2" i="10"/>
  <c r="H2" i="10" s="1"/>
  <c r="H28" i="3"/>
  <c r="H29" i="3"/>
  <c r="H30" i="3"/>
  <c r="H31" i="3"/>
  <c r="H32" i="3"/>
  <c r="H33" i="3"/>
  <c r="H34" i="3"/>
  <c r="H27" i="3"/>
  <c r="G28" i="3"/>
  <c r="G29" i="3"/>
  <c r="G30" i="3"/>
  <c r="G31" i="3"/>
  <c r="G32" i="3"/>
  <c r="G33" i="3"/>
  <c r="G34" i="3"/>
  <c r="G27" i="3"/>
  <c r="G35" i="9"/>
  <c r="H35" i="9" s="1"/>
  <c r="G34" i="9"/>
  <c r="H34" i="9" s="1"/>
  <c r="G33" i="9"/>
  <c r="H33" i="9" s="1"/>
  <c r="G32" i="9"/>
  <c r="H32" i="9" s="1"/>
  <c r="G31" i="9"/>
  <c r="H31" i="9" s="1"/>
  <c r="G30" i="9"/>
  <c r="H30" i="9" s="1"/>
  <c r="G29" i="9"/>
  <c r="H29" i="9" s="1"/>
  <c r="G28" i="9"/>
  <c r="H28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K9" i="9"/>
  <c r="G9" i="9"/>
  <c r="H9" i="9" s="1"/>
  <c r="K8" i="9"/>
  <c r="G8" i="9"/>
  <c r="H8" i="9" s="1"/>
  <c r="K7" i="9"/>
  <c r="G7" i="9"/>
  <c r="H7" i="9" s="1"/>
  <c r="K6" i="9"/>
  <c r="G6" i="9"/>
  <c r="H6" i="9" s="1"/>
  <c r="K5" i="9"/>
  <c r="G5" i="9"/>
  <c r="H5" i="9" s="1"/>
  <c r="K4" i="9"/>
  <c r="G4" i="9"/>
  <c r="H4" i="9" s="1"/>
  <c r="K3" i="9"/>
  <c r="G3" i="9"/>
  <c r="H3" i="9" s="1"/>
  <c r="K2" i="9"/>
  <c r="G2" i="9"/>
  <c r="H2" i="9" s="1"/>
  <c r="P28" i="3"/>
  <c r="P29" i="3"/>
  <c r="P30" i="3"/>
  <c r="P31" i="3"/>
  <c r="P32" i="3"/>
  <c r="P33" i="3"/>
  <c r="P34" i="3"/>
  <c r="Q33" i="3"/>
  <c r="Q28" i="3"/>
  <c r="Q29" i="3"/>
  <c r="F34" i="3"/>
  <c r="F33" i="3"/>
  <c r="F32" i="3"/>
  <c r="F31" i="3"/>
  <c r="F30" i="3"/>
  <c r="F29" i="3"/>
  <c r="F28" i="3"/>
  <c r="F27" i="3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K9" i="8"/>
  <c r="G9" i="8"/>
  <c r="H9" i="8" s="1"/>
  <c r="K8" i="8"/>
  <c r="G8" i="8"/>
  <c r="H8" i="8" s="1"/>
  <c r="K7" i="8"/>
  <c r="G7" i="8"/>
  <c r="H7" i="8" s="1"/>
  <c r="K6" i="8"/>
  <c r="G6" i="8"/>
  <c r="H6" i="8" s="1"/>
  <c r="K5" i="8"/>
  <c r="G5" i="8"/>
  <c r="H5" i="8" s="1"/>
  <c r="K4" i="8"/>
  <c r="G4" i="8"/>
  <c r="H4" i="8" s="1"/>
  <c r="K3" i="8"/>
  <c r="G3" i="8"/>
  <c r="H3" i="8" s="1"/>
  <c r="K2" i="8"/>
  <c r="G2" i="8"/>
  <c r="H2" i="8" s="1"/>
  <c r="H3" i="7"/>
  <c r="H4" i="7"/>
  <c r="H5" i="7"/>
  <c r="H6" i="7"/>
  <c r="H7" i="7"/>
  <c r="H8" i="7"/>
  <c r="H9" i="7"/>
  <c r="H2" i="7"/>
  <c r="F16" i="3"/>
  <c r="F17" i="3"/>
  <c r="F18" i="3"/>
  <c r="F19" i="3"/>
  <c r="F20" i="3"/>
  <c r="F21" i="3"/>
  <c r="F22" i="3"/>
  <c r="F15" i="3"/>
  <c r="F4" i="3"/>
  <c r="F5" i="3"/>
  <c r="F6" i="3"/>
  <c r="F7" i="3"/>
  <c r="F8" i="3"/>
  <c r="F9" i="3"/>
  <c r="F10" i="3"/>
  <c r="F3" i="3"/>
  <c r="K3" i="7"/>
  <c r="K4" i="7"/>
  <c r="K5" i="7"/>
  <c r="K6" i="7"/>
  <c r="K7" i="7"/>
  <c r="K8" i="7"/>
  <c r="K9" i="7"/>
  <c r="K2" i="7"/>
  <c r="G9" i="7"/>
  <c r="G8" i="7"/>
  <c r="G7" i="7"/>
  <c r="G6" i="7"/>
  <c r="G5" i="7"/>
  <c r="G4" i="7"/>
  <c r="G3" i="7"/>
  <c r="G2" i="7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Q30" i="3"/>
  <c r="Q31" i="3"/>
  <c r="Q32" i="3"/>
  <c r="Q34" i="3"/>
  <c r="E28" i="3"/>
  <c r="E29" i="3"/>
  <c r="E30" i="3"/>
  <c r="E31" i="3"/>
  <c r="E32" i="3"/>
  <c r="E33" i="3"/>
  <c r="E34" i="3"/>
  <c r="E27" i="3"/>
  <c r="D28" i="3"/>
  <c r="D29" i="3"/>
  <c r="D30" i="3"/>
  <c r="D31" i="3"/>
  <c r="D32" i="3"/>
  <c r="D33" i="3"/>
  <c r="D34" i="3"/>
  <c r="D27" i="3"/>
  <c r="C28" i="3"/>
  <c r="C29" i="3"/>
  <c r="C30" i="3"/>
  <c r="C31" i="3"/>
  <c r="C32" i="3"/>
  <c r="C33" i="3"/>
  <c r="C34" i="3"/>
  <c r="C27" i="3"/>
  <c r="B28" i="3"/>
  <c r="B29" i="3"/>
  <c r="B30" i="3"/>
  <c r="B31" i="3"/>
  <c r="B32" i="3"/>
  <c r="B33" i="3"/>
  <c r="B34" i="3"/>
  <c r="B27" i="3"/>
  <c r="E16" i="3"/>
  <c r="E17" i="3"/>
  <c r="E18" i="3"/>
  <c r="E19" i="3"/>
  <c r="E20" i="3"/>
  <c r="E21" i="3"/>
  <c r="E22" i="3"/>
  <c r="E15" i="3"/>
  <c r="D16" i="3"/>
  <c r="D17" i="3"/>
  <c r="D18" i="3"/>
  <c r="D19" i="3"/>
  <c r="D20" i="3"/>
  <c r="D21" i="3"/>
  <c r="D22" i="3"/>
  <c r="D15" i="3"/>
  <c r="C16" i="3"/>
  <c r="C17" i="3"/>
  <c r="C18" i="3"/>
  <c r="C19" i="3"/>
  <c r="C20" i="3"/>
  <c r="C21" i="3"/>
  <c r="C22" i="3"/>
  <c r="C15" i="3"/>
  <c r="E4" i="3"/>
  <c r="E5" i="3"/>
  <c r="E6" i="3"/>
  <c r="E7" i="3"/>
  <c r="E8" i="3"/>
  <c r="E9" i="3"/>
  <c r="E10" i="3"/>
  <c r="E3" i="3"/>
  <c r="H3" i="6"/>
  <c r="H4" i="6"/>
  <c r="H5" i="6"/>
  <c r="H6" i="6"/>
  <c r="H7" i="6"/>
  <c r="H8" i="6"/>
  <c r="H9" i="6"/>
  <c r="H2" i="6"/>
  <c r="G3" i="6"/>
  <c r="G4" i="6"/>
  <c r="G5" i="6"/>
  <c r="G6" i="6"/>
  <c r="G7" i="6"/>
  <c r="G8" i="6"/>
  <c r="G9" i="6"/>
  <c r="G2" i="6"/>
  <c r="D4" i="3"/>
  <c r="D5" i="3"/>
  <c r="D6" i="3"/>
  <c r="D7" i="3"/>
  <c r="D8" i="3"/>
  <c r="D9" i="3"/>
  <c r="D10" i="3"/>
  <c r="D3" i="3"/>
  <c r="G3" i="5"/>
  <c r="G4" i="5"/>
  <c r="G5" i="5"/>
  <c r="G6" i="5"/>
  <c r="G7" i="5"/>
  <c r="G8" i="5"/>
  <c r="G9" i="5"/>
  <c r="G2" i="5"/>
  <c r="G3" i="2"/>
  <c r="G4" i="2"/>
  <c r="G5" i="2"/>
  <c r="G6" i="2"/>
  <c r="G7" i="2"/>
  <c r="G8" i="2"/>
  <c r="G9" i="2"/>
  <c r="G2" i="2"/>
  <c r="G3" i="1"/>
  <c r="B4" i="3" s="1"/>
  <c r="G4" i="1"/>
  <c r="B5" i="3" s="1"/>
  <c r="G5" i="1"/>
  <c r="B6" i="3" s="1"/>
  <c r="G6" i="1"/>
  <c r="B7" i="3" s="1"/>
  <c r="G7" i="1"/>
  <c r="B8" i="3" s="1"/>
  <c r="G8" i="1"/>
  <c r="B9" i="3" s="1"/>
  <c r="G9" i="1"/>
  <c r="B10" i="3" s="1"/>
  <c r="G2" i="1"/>
  <c r="P27" i="3" l="1"/>
  <c r="Q27" i="3"/>
  <c r="C4" i="3"/>
  <c r="H3" i="5"/>
  <c r="H3" i="2"/>
  <c r="C5" i="3"/>
  <c r="H4" i="5"/>
  <c r="H4" i="2"/>
  <c r="C6" i="3"/>
  <c r="H5" i="5"/>
  <c r="H5" i="2"/>
  <c r="C7" i="3"/>
  <c r="H6" i="5"/>
  <c r="H6" i="2"/>
  <c r="C8" i="3"/>
  <c r="H7" i="5"/>
  <c r="H7" i="2"/>
  <c r="C9" i="3"/>
  <c r="H8" i="5"/>
  <c r="H8" i="2"/>
  <c r="C10" i="3"/>
  <c r="H9" i="5"/>
  <c r="H9" i="2"/>
  <c r="C3" i="3"/>
  <c r="H2" i="5"/>
  <c r="B3" i="3"/>
  <c r="H2" i="2"/>
</calcChain>
</file>

<file path=xl/sharedStrings.xml><?xml version="1.0" encoding="utf-8"?>
<sst xmlns="http://schemas.openxmlformats.org/spreadsheetml/2006/main" count="700" uniqueCount="192">
  <si>
    <t>Function</t>
  </si>
  <si>
    <t>Next Best Points</t>
  </si>
  <si>
    <t>.428571 - .142857</t>
  </si>
  <si>
    <t>.795918  - .959184</t>
  </si>
  <si>
    <t>.489796 - .612245 - .326531</t>
  </si>
  <si>
    <t>Took longer to calculate the ucb values ( 4 minutes)</t>
  </si>
  <si>
    <t>0.428571 - 0.448979 - 0.387755 - 0.448979</t>
  </si>
  <si>
    <t>0.224489 - 0.836734 - 0.877551 - 0.877551</t>
  </si>
  <si>
    <t>I had started with grid_size = 50 Grid search creation took long time and crashed the python process. Because it tried to create 50^5 = 312.5 million points
I then changed the grid size to 10 and reran. It did not produce the sufficient points
then changed to grid size = 20 and reran</t>
  </si>
  <si>
    <t>.736842 - .157895 - .736842 - .684211 - .052632</t>
  </si>
  <si>
    <t>Changed the grid_size = 10. With grid search 10, UCB next best point were coming with similar values for all. 
So I changed to random sample with sample = 10000000 (10M)</t>
  </si>
  <si>
    <t>0.151199 - 0.033732 - 0.730708 - 0.344778 - 0.023911 - 0.533736</t>
  </si>
  <si>
    <t xml:space="preserve">8D. Started with random sample of 1000000 (1M) sample </t>
  </si>
  <si>
    <t>0.022440 - 0.191554 - 0.027755 - 0.095156 - 0.791674 - 0.395249-0.075154-0.444097</t>
  </si>
  <si>
    <t>Observation</t>
  </si>
  <si>
    <t>Maximum value in the given data</t>
  </si>
  <si>
    <t>Result after this input</t>
  </si>
  <si>
    <t>This is approx 100% difference to the maxima</t>
  </si>
  <si>
    <t>% Difference with Maxima</t>
  </si>
  <si>
    <t>0.775510-0.795918</t>
  </si>
  <si>
    <t>0.714286-0.938776</t>
  </si>
  <si>
    <t>0.428571-0.448980-0.489796</t>
  </si>
  <si>
    <t>Took longer to calculate the ucb values ( almost 5  minutes)</t>
  </si>
  <si>
    <t>0.469388-0.469388-0.285714-0.428571</t>
  </si>
  <si>
    <t>0.204082-0.877551-0.857143-0.897959</t>
  </si>
  <si>
    <t>grid size = 20</t>
  </si>
  <si>
    <t>Random search with 10M sample. took around  8 minute to run.</t>
  </si>
  <si>
    <t>0.023952-0.436365-0.285535-0.137788-0.353289-0.747301</t>
  </si>
  <si>
    <t>0.368421-0.263158-0.526316-0.842105-0.105263</t>
  </si>
  <si>
    <t xml:space="preserve">Random search with 1M sample. </t>
  </si>
  <si>
    <t>0.008892-0.448205-0.002458-0.605908-0.634393-0.706540-0.036133-0.701302</t>
  </si>
  <si>
    <t>Week1</t>
  </si>
  <si>
    <t>Week2</t>
  </si>
  <si>
    <t>Week3</t>
  </si>
  <si>
    <t>Week4</t>
  </si>
  <si>
    <t>Week5</t>
  </si>
  <si>
    <t>Week6</t>
  </si>
  <si>
    <t>% difference with maxima</t>
  </si>
  <si>
    <t>Order</t>
  </si>
  <si>
    <t xml:space="preserve">Next Best Points </t>
  </si>
  <si>
    <t>Method</t>
  </si>
  <si>
    <t>Calculated using GP and UCB</t>
  </si>
  <si>
    <t>No change in the difference</t>
  </si>
  <si>
    <t>Differece with previous week</t>
  </si>
  <si>
    <t>Calculated using GP and UCB. changed grid size to 100</t>
  </si>
  <si>
    <t>0.808081-0.717172</t>
  </si>
  <si>
    <t>0.656566-0.939394</t>
  </si>
  <si>
    <t>Calculated using GP and UCB.changed grid size to 100</t>
  </si>
  <si>
    <t>0.545455-0.666667-0.585859</t>
  </si>
  <si>
    <t>Random search with 3M sample</t>
  </si>
  <si>
    <t>0.372475-0.484827-0.477273-0.411341</t>
  </si>
  <si>
    <t xml:space="preserve">0.220562-0.993718-0.92325-0.93226 </t>
  </si>
  <si>
    <t>0.359946-0.009339-0.744659-0.973816-0.016177</t>
  </si>
  <si>
    <t>0.025165-0.343159-0.324152-0.113682-0.321857-0.924456</t>
  </si>
  <si>
    <t xml:space="preserve">Random search with 3M sample. </t>
  </si>
  <si>
    <t>0.135865-0.220521-0.003626-0.027379-0.41093-0.081034-0.127128-0.747297</t>
  </si>
  <si>
    <t>0.399405-0.632402</t>
  </si>
  <si>
    <t>Predicted max value</t>
  </si>
  <si>
    <t>Changed from UCB to SVM</t>
  </si>
  <si>
    <t>0.729253-0.058662</t>
  </si>
  <si>
    <t>0.474657-0.469540-0.376028</t>
  </si>
  <si>
    <t>0.310497-0.337378-0.332006-0.378659</t>
  </si>
  <si>
    <t>0.210582-0.914111-0.854212-0.943472</t>
  </si>
  <si>
    <t>0.412263-0.328525-0.520517-0.793617-0.125967</t>
  </si>
  <si>
    <t>0.003259-0.392839-0.309986-0.034139-0.323222-0.843995</t>
  </si>
  <si>
    <t>0.122471-0.258725-0.109219-0.228651-0.547005-0.439823-0.346755-0.502501</t>
  </si>
  <si>
    <t>Differences each week</t>
  </si>
  <si>
    <t>N/A</t>
  </si>
  <si>
    <t>Result after each week</t>
  </si>
  <si>
    <t>Week7</t>
  </si>
  <si>
    <t>Week8</t>
  </si>
  <si>
    <t>Week9</t>
  </si>
  <si>
    <t>Week10</t>
  </si>
  <si>
    <t>Week11</t>
  </si>
  <si>
    <t>Week12</t>
  </si>
  <si>
    <t>Maximum Week</t>
  </si>
  <si>
    <t>Maximum value</t>
  </si>
  <si>
    <t>Surrogate function</t>
  </si>
  <si>
    <t>GP and UCB</t>
  </si>
  <si>
    <t>SVM</t>
  </si>
  <si>
    <t>0.040981-0.991637</t>
  </si>
  <si>
    <t>0.999980-0.502674</t>
  </si>
  <si>
    <t>0.470795-0.469432-0.384002</t>
  </si>
  <si>
    <t xml:space="preserve">0.428136-0.411944-0.394251-0.408480 </t>
  </si>
  <si>
    <t xml:space="preserve">0.204073-0.904901-0.851427-0.949180 </t>
  </si>
  <si>
    <t>0.403200-0.358308-0.53710-0.806405-0.125919]</t>
  </si>
  <si>
    <t>0.005966-0.408227-0.235281-0.257264-0.364575-0.611106</t>
  </si>
  <si>
    <t>Changed c = 10 from 1.0. SVM</t>
  </si>
  <si>
    <t>0.192695-0.299481-0.178516-0.223527-0.635056-0.453264-0.202099-0.598408</t>
  </si>
  <si>
    <t>Using GP</t>
  </si>
  <si>
    <t>0.555556-0.878788</t>
  </si>
  <si>
    <t>0.707071-0.878788</t>
  </si>
  <si>
    <t xml:space="preserve">0.73737374 0.98989899 0.        </t>
  </si>
  <si>
    <t>0.437681-0.304730-0.402971-0.465417</t>
  </si>
  <si>
    <t>Submitted</t>
  </si>
  <si>
    <t>Y</t>
  </si>
  <si>
    <t>N</t>
  </si>
  <si>
    <t>0.223249-0.991019-0.987207-0.989510</t>
  </si>
  <si>
    <t>GP UCB</t>
  </si>
  <si>
    <t>0.380184-0.470808-0.448688-0.623953-0.016960</t>
  </si>
  <si>
    <t>0.019827-0.361049-0.286289-0.217141-0.280808-0.629024</t>
  </si>
  <si>
    <t xml:space="preserve">0.091162-0.246438-0.013086-0.510607-0.945613-0.106765-0.014449-0.053390 </t>
  </si>
  <si>
    <t>0.403200-0.358308-0.537100-0.806405-0.125919</t>
  </si>
  <si>
    <t>GP UCB. changed kappa from 2 to 4 
def ucb(x, gp, kappa=4.0):</t>
  </si>
  <si>
    <t xml:space="preserve">Best Surrogate </t>
  </si>
  <si>
    <t>GP UCB. same as above</t>
  </si>
  <si>
    <t>0.272727-0.646465</t>
  </si>
  <si>
    <t>0.226985-0.173301</t>
  </si>
  <si>
    <t>0.727273-0.848485</t>
  </si>
  <si>
    <t>0.578940-0.999998</t>
  </si>
  <si>
    <t>0.505051-0.505051-0.333333</t>
  </si>
  <si>
    <t>0.466270-0.468781-0.388206</t>
  </si>
  <si>
    <t>0.29683-0.339701-0.32808-0.381113</t>
  </si>
  <si>
    <t>0.411639-0.405230-0.395606-0.413578</t>
  </si>
  <si>
    <t>0.006714-0.962566-0.999640-0.988118</t>
  </si>
  <si>
    <t>0.210130-0.932370-0.868367-0.947575</t>
  </si>
  <si>
    <t>0.255285-0.205991-0.397076-0.455967-0.002761</t>
  </si>
  <si>
    <t>0.391891-0.368600-0.531377-0.802436-0.120967</t>
  </si>
  <si>
    <t>0.003012-0.188490-0.151942-0.248707-0.271647-0.686207</t>
  </si>
  <si>
    <t>0.012847-0.337198-0.189260-0.238606-0.359323-0.557438</t>
  </si>
  <si>
    <t>7.26450e-02 1.94260e-01 4.52080e-02 9.74669e-01 9.85736e-01 1.36972e-01 7.86000e-04 3.92350e-02</t>
  </si>
  <si>
    <t>0.128221-0.210897-0.140317-0.25416-0.652099-0.458573-0.200614-0.567749</t>
  </si>
  <si>
    <t xml:space="preserve">SVM. Kept c = 10 </t>
  </si>
  <si>
    <t>0.296830-0.339701-0.328080-0.381113</t>
  </si>
  <si>
    <t>0.128221-0.210897-0.140317-0.254160-0.652099-0.458573-0.200614-0.567749</t>
  </si>
  <si>
    <t>GP  and UCB</t>
  </si>
  <si>
    <t>0.343434-0.686869</t>
  </si>
  <si>
    <t>GP and UCB with kappa 1.0</t>
  </si>
  <si>
    <t>0.128694-0.219713</t>
  </si>
  <si>
    <t>0.767677-0.171717</t>
  </si>
  <si>
    <t>GP and UCB with kappa 4.0</t>
  </si>
  <si>
    <t>0.233998-0.749905</t>
  </si>
  <si>
    <t>0.484848-0.464646-0.343434</t>
  </si>
  <si>
    <t>0.464267-0.464315-0.390928</t>
  </si>
  <si>
    <t>0.409933-0.364803-0.392926-0.352123</t>
  </si>
  <si>
    <t>0.404571-0.412653-0.392798-0.411417</t>
  </si>
  <si>
    <t>0.256514-0.99714-0.999654-0.992373</t>
  </si>
  <si>
    <t>SVM with c=200</t>
  </si>
  <si>
    <t>0.226764-0.976135-0.968146-0.985228</t>
  </si>
  <si>
    <t>0.149263-0.157346-0.376126-0.401604-0.000412</t>
  </si>
  <si>
    <t>0.431450-0.341100-0.525399-0.767641-0.116168</t>
  </si>
  <si>
    <t>0.005736-0.144342-0.130780-0.371920-0.195657-0.688366</t>
  </si>
  <si>
    <t>SVM. Changed  C from 10 to 50</t>
  </si>
  <si>
    <t>0.005938-0.357099-0.254090-0.226019-0.373983-0.567737</t>
  </si>
  <si>
    <t>1.26784232e-01 1.57479325e-01 2.74693931e-02 8.74639200e-01 9.27662487e-01 6.74960089e-02 2.88839476e-02 3.76237340e-04</t>
  </si>
  <si>
    <t>0.116710-0.257625-0.102652-0.256898-0.608380-0.438972-0.202376-0.673922</t>
  </si>
  <si>
    <t>SVM. Changed C from 10 to 0.5</t>
  </si>
  <si>
    <t>GP with kappa 0.5</t>
  </si>
  <si>
    <t>0.757576-0.747475</t>
  </si>
  <si>
    <t>0.489438-0.943112]</t>
  </si>
  <si>
    <t>0.636364-0.040404</t>
  </si>
  <si>
    <t>GP with kappa 3.0 for more exploitation</t>
  </si>
  <si>
    <t>0.236401-0.754627</t>
  </si>
  <si>
    <t>0.484848-0.484848-0.363636</t>
  </si>
  <si>
    <t>0.463265-0.468825-0.396273</t>
  </si>
  <si>
    <t>0.40228-0.380074-0.37591-0.363568</t>
  </si>
  <si>
    <t>0.402987-0.410539-0.398977-0.398417</t>
  </si>
  <si>
    <t>0.331337-0.998687-0.980926-0.995698</t>
  </si>
  <si>
    <t>0.267979-0.995122-0.999651-0.991231</t>
  </si>
  <si>
    <t>SVM with c=5000 ad epsilon=2.0</t>
  </si>
  <si>
    <t>0.166042-0.457246-0.073017-0.773776-0.010904</t>
  </si>
  <si>
    <t>GP with kappa 4.0</t>
  </si>
  <si>
    <t>SVM with c=20 from  0.5</t>
  </si>
  <si>
    <t>0.409767-0.323588-0.540202-0.774776-0.098109</t>
  </si>
  <si>
    <t>SVM with c=15 from 10</t>
  </si>
  <si>
    <t>0.004029-0.00812-0.157955-0.418604-0.120639-0.793899</t>
  </si>
  <si>
    <t>0.00569-0.361594-0.232773-0.260054-0.435480-0.530060</t>
  </si>
  <si>
    <t>0.182705-0.087667-0.016365-0.763103-0.911837-0.098463-0.034195-0.011251</t>
  </si>
  <si>
    <t>0.100296-0.265682-0.146924-0.288241-0.662098-0.485298-0.240507-0.639099</t>
  </si>
  <si>
    <t>0.402280-0.380074-0.375910-0.363568</t>
  </si>
  <si>
    <t>0.005690-0.361594-0.232773-0.260054-0.435480-0.530060</t>
  </si>
  <si>
    <t>0.910000-0.600000</t>
  </si>
  <si>
    <t>0.696970-0.858586</t>
  </si>
  <si>
    <t>0.523000-0.537000-0.421000</t>
  </si>
  <si>
    <t>0.415000-0.370000-0.390000-0.360000</t>
  </si>
  <si>
    <t>0.260000-0.995000-0.995000-0.990000</t>
  </si>
  <si>
    <t>0.410000-0.340000-0.540000-0.790000-0.120000</t>
  </si>
  <si>
    <t>LLM - GP and EI</t>
  </si>
  <si>
    <t>0.006000-0.370000-0.240000-0.245000-0.390000-0.560000</t>
  </si>
  <si>
    <t>LLM - SVM</t>
  </si>
  <si>
    <t>0.960000-0.970000-0.660000-0.660000-0.670000-0.910000-0.460000-0.560000</t>
  </si>
  <si>
    <t>SVM. Changed c=5</t>
  </si>
  <si>
    <t>0.096247-0.307438-0.179137-0.224319-0.639023-0.468022-0.244508-0.623882</t>
  </si>
  <si>
    <t>0.013022-0.372151-0.206708-0.284926-0.256746-0.578120</t>
  </si>
  <si>
    <t>0.394021-0.358425-0.531582-0.785604-0.130915</t>
  </si>
  <si>
    <t>GP and UCB. Changed Kappa=1</t>
  </si>
  <si>
    <t>0.565589-0.990737-0.998529-0.990139</t>
  </si>
  <si>
    <t>0.406135-0.306049-0.368563-0.326907</t>
  </si>
  <si>
    <t>GP and EI</t>
  </si>
  <si>
    <t>0.272727-0.454545</t>
  </si>
  <si>
    <t>0.707071-0.888889</t>
  </si>
  <si>
    <t>0.474747-0.444444-0.363636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</si>
</sst>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444444"/>
      <name val="Arial"/>
      <family val="2"/>
    </font>
    <font>
      <sz val="12"/>
      <color rgb="FF000000"/>
      <name val="Aptos Narrow"/>
      <family val="2"/>
      <scheme val="minor"/>
    </font>
    <font>
      <sz val="12"/>
      <color rgb="FFCCCCCC"/>
      <name val="Menlo"/>
      <family val="2"/>
    </font>
    <font>
      <sz val="8"/>
      <name val="Aptos Narrow"/>
      <family val="2"/>
      <scheme val="minor"/>
    </font>
    <font>
      <sz val="15"/>
      <color rgb="FF26221F"/>
      <name val="Ginto Copilot Variable"/>
    </font>
    <font>
      <sz val="14"/>
      <color rgb="FF26221F"/>
      <name val="Cascadia Code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11" fontId="0" fillId="0" borderId="0" xfId="0" applyNumberFormat="1"/>
    <xf numFmtId="11" fontId="3" fillId="0" borderId="0" xfId="0" applyNumberFormat="1" applyFont="1"/>
    <xf numFmtId="0" fontId="3" fillId="0" borderId="0" xfId="0" applyFont="1"/>
    <xf numFmtId="9" fontId="2" fillId="0" borderId="0" xfId="1" applyFont="1"/>
    <xf numFmtId="9" fontId="0" fillId="0" borderId="0" xfId="1" applyFont="1"/>
    <xf numFmtId="2" fontId="3" fillId="0" borderId="0" xfId="1" applyNumberFormat="1" applyFont="1"/>
    <xf numFmtId="2" fontId="0" fillId="0" borderId="0" xfId="0" applyNumberFormat="1"/>
    <xf numFmtId="0" fontId="4" fillId="0" borderId="0" xfId="0" applyFont="1"/>
    <xf numFmtId="11" fontId="5" fillId="0" borderId="0" xfId="0" applyNumberFormat="1" applyFont="1"/>
    <xf numFmtId="0" fontId="5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4F69-D94D-D64A-81C5-4411182D0207}">
  <dimension ref="A1:R46"/>
  <sheetViews>
    <sheetView tabSelected="1" workbookViewId="0">
      <selection activeCell="L41" sqref="L41"/>
    </sheetView>
  </sheetViews>
  <sheetFormatPr baseColWidth="10" defaultRowHeight="16"/>
  <cols>
    <col min="10" max="10" width="13.1640625" bestFit="1" customWidth="1"/>
    <col min="16" max="16" width="13.83203125" bestFit="1" customWidth="1"/>
    <col min="17" max="17" width="13.6640625" bestFit="1" customWidth="1"/>
    <col min="18" max="18" width="13.33203125" bestFit="1" customWidth="1"/>
  </cols>
  <sheetData>
    <row r="1" spans="1:18">
      <c r="B1" s="17" t="s">
        <v>37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>
      <c r="A2" t="s">
        <v>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</row>
    <row r="3" spans="1:18">
      <c r="A3">
        <v>1</v>
      </c>
      <c r="B3" s="9">
        <f>Week1!G2</f>
        <v>100</v>
      </c>
      <c r="C3" s="9">
        <f>Week2!G2</f>
        <v>100</v>
      </c>
      <c r="D3" s="9">
        <f>Week3!G2</f>
        <v>100.00000000002061</v>
      </c>
      <c r="E3" s="9">
        <f>Week4!G2</f>
        <v>100</v>
      </c>
      <c r="F3" s="9">
        <f>Week5!G2</f>
        <v>100</v>
      </c>
    </row>
    <row r="4" spans="1:18">
      <c r="A4">
        <v>2</v>
      </c>
      <c r="B4" s="9">
        <f>Week1!G3</f>
        <v>87.192534248955923</v>
      </c>
      <c r="C4" s="9">
        <f>Week2!G3</f>
        <v>14.270145642943518</v>
      </c>
      <c r="D4" s="9">
        <f>Week3!G3</f>
        <v>32.19880112635304</v>
      </c>
      <c r="E4" s="9">
        <f>Week4!G3</f>
        <v>16.997885105218028</v>
      </c>
      <c r="F4" s="9">
        <f>Week5!G3</f>
        <v>101.27947346584287</v>
      </c>
    </row>
    <row r="5" spans="1:18">
      <c r="A5">
        <v>3</v>
      </c>
      <c r="B5" s="9">
        <f>Week1!G4</f>
        <v>18.195891275072764</v>
      </c>
      <c r="C5" s="9">
        <f>Week2!G4</f>
        <v>79.432989533535448</v>
      </c>
      <c r="D5" s="9">
        <f>Week3!G4</f>
        <v>84.996763770610158</v>
      </c>
      <c r="E5" s="9">
        <f>Week4!G4</f>
        <v>56.324677568288138</v>
      </c>
      <c r="F5" s="9">
        <f>Week5!G4</f>
        <v>84.348732285012801</v>
      </c>
    </row>
    <row r="6" spans="1:18">
      <c r="A6">
        <v>4</v>
      </c>
      <c r="B6" s="9">
        <f>Week1!G5</f>
        <v>92.995568312193811</v>
      </c>
      <c r="C6" s="9">
        <f>Week2!G5</f>
        <v>37.663970264287499</v>
      </c>
      <c r="D6" s="9">
        <f>Week3!G5</f>
        <v>43.643107211859409</v>
      </c>
      <c r="E6" s="9">
        <f>Week4!G5</f>
        <v>79.842106154054889</v>
      </c>
      <c r="F6" s="9">
        <f>Week5!G5</f>
        <v>81.783568279145115</v>
      </c>
    </row>
    <row r="7" spans="1:18">
      <c r="A7">
        <v>5</v>
      </c>
      <c r="B7" s="9">
        <f>Week1!G6</f>
        <v>4.8736401771722404</v>
      </c>
      <c r="C7" s="9">
        <f>Week2!G6</f>
        <v>10.863962915841164</v>
      </c>
      <c r="D7" s="9">
        <f>Week3!G6</f>
        <v>55.79043066718188</v>
      </c>
      <c r="E7" s="9">
        <f>Week4!G6</f>
        <v>38.495919543966281</v>
      </c>
      <c r="F7" s="9">
        <f>Week5!G6</f>
        <v>31.290927975307341</v>
      </c>
    </row>
    <row r="8" spans="1:18">
      <c r="A8">
        <v>6</v>
      </c>
      <c r="B8" s="9">
        <f>Week1!G7</f>
        <v>4.3185199325497097</v>
      </c>
      <c r="C8" s="9">
        <f>Week2!G7</f>
        <v>54.524214293269047</v>
      </c>
      <c r="D8" s="9">
        <f>Week3!G7</f>
        <v>61.246522474402866</v>
      </c>
      <c r="E8" s="9">
        <f>Week4!G7</f>
        <v>61.729714327882121</v>
      </c>
      <c r="F8" s="9">
        <f>Week5!G7</f>
        <v>44.113314666396683</v>
      </c>
    </row>
    <row r="9" spans="1:18">
      <c r="A9">
        <v>7</v>
      </c>
      <c r="B9" s="9">
        <f>Week1!G8</f>
        <v>54.387151210578047</v>
      </c>
      <c r="C9" s="9">
        <f>Week2!G8</f>
        <v>9.9175447287705296</v>
      </c>
      <c r="D9" s="9">
        <f>Week3!G8</f>
        <v>29.308356031435345</v>
      </c>
      <c r="E9" s="9">
        <f>Week4!G8</f>
        <v>38.381258952725666</v>
      </c>
      <c r="F9" s="9">
        <f>Week5!G8</f>
        <v>18.524258187636743</v>
      </c>
    </row>
    <row r="10" spans="1:18">
      <c r="A10">
        <v>8</v>
      </c>
      <c r="B10" s="9">
        <f>Week1!G9</f>
        <v>3.1166950650855507</v>
      </c>
      <c r="C10" s="9">
        <f>Week2!G9</f>
        <v>3.8410643294795994</v>
      </c>
      <c r="D10" s="9">
        <f>Week3!G9</f>
        <v>2.4402762304876608</v>
      </c>
      <c r="E10" s="9">
        <f>Week4!G9</f>
        <v>7.2904476793051065E-2</v>
      </c>
      <c r="F10" s="9">
        <f>Week5!G9</f>
        <v>0.25115647550397896</v>
      </c>
    </row>
    <row r="13" spans="1:18">
      <c r="E13" s="2" t="s">
        <v>66</v>
      </c>
    </row>
    <row r="14" spans="1:18">
      <c r="A14" t="s">
        <v>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</row>
    <row r="15" spans="1:18">
      <c r="A15">
        <v>1</v>
      </c>
      <c r="B15" t="s">
        <v>67</v>
      </c>
      <c r="C15" s="9">
        <f>Week2!H2</f>
        <v>0</v>
      </c>
      <c r="D15" s="9">
        <f>Week3!H2</f>
        <v>-2.0605739337042905E-11</v>
      </c>
      <c r="E15" s="9">
        <f>Week4!H2</f>
        <v>2.0605739337042905E-11</v>
      </c>
      <c r="F15" s="9">
        <f>Week5!H2</f>
        <v>0</v>
      </c>
    </row>
    <row r="16" spans="1:18">
      <c r="A16">
        <v>2</v>
      </c>
      <c r="B16" t="s">
        <v>67</v>
      </c>
      <c r="C16" s="9">
        <f>Week2!H3</f>
        <v>-72.922388606012404</v>
      </c>
      <c r="D16" s="9">
        <f>Week3!H3</f>
        <v>-17.928655483409521</v>
      </c>
      <c r="E16" s="9">
        <f>Week4!H3</f>
        <v>15.200916021135011</v>
      </c>
      <c r="F16" s="9">
        <f>Week5!H3</f>
        <v>-84.281588360624838</v>
      </c>
    </row>
    <row r="17" spans="1:18">
      <c r="A17">
        <v>3</v>
      </c>
      <c r="B17" t="s">
        <v>67</v>
      </c>
      <c r="C17" s="9">
        <f>Week2!H4</f>
        <v>61.23709825846268</v>
      </c>
      <c r="D17" s="9">
        <f>Week3!H4</f>
        <v>-5.5637742370747105</v>
      </c>
      <c r="E17" s="9">
        <f>Week4!H4</f>
        <v>28.672086202322021</v>
      </c>
      <c r="F17" s="9">
        <f>Week5!H4</f>
        <v>-28.024054716724663</v>
      </c>
    </row>
    <row r="18" spans="1:18">
      <c r="A18">
        <v>4</v>
      </c>
      <c r="B18" t="s">
        <v>67</v>
      </c>
      <c r="C18" s="9">
        <f>Week2!H5</f>
        <v>-55.331598047906311</v>
      </c>
      <c r="D18" s="9">
        <f>Week3!H5</f>
        <v>-5.9791369475719094</v>
      </c>
      <c r="E18" s="9">
        <f>Week4!H5</f>
        <v>-36.19899894219548</v>
      </c>
      <c r="F18" s="9">
        <f>Week5!H5</f>
        <v>-1.9414621250902258</v>
      </c>
    </row>
    <row r="19" spans="1:18">
      <c r="A19">
        <v>5</v>
      </c>
      <c r="B19" t="s">
        <v>67</v>
      </c>
      <c r="C19" s="9">
        <f>Week2!H6</f>
        <v>5.9903227386689233</v>
      </c>
      <c r="D19" s="9">
        <f>Week3!H6</f>
        <v>-44.926467751340716</v>
      </c>
      <c r="E19" s="9">
        <f>Week4!H6</f>
        <v>17.294511123215599</v>
      </c>
      <c r="F19" s="9">
        <f>Week5!H6</f>
        <v>7.2049915686589401</v>
      </c>
    </row>
    <row r="20" spans="1:18">
      <c r="A20">
        <v>6</v>
      </c>
      <c r="B20" t="s">
        <v>67</v>
      </c>
      <c r="C20" s="9">
        <f>Week2!H7</f>
        <v>50.205694360719335</v>
      </c>
      <c r="D20" s="9">
        <f>Week3!H7</f>
        <v>-6.722308181133819</v>
      </c>
      <c r="E20" s="9">
        <f>Week4!H7</f>
        <v>-0.48319185347925497</v>
      </c>
      <c r="F20" s="9">
        <f>Week5!H7</f>
        <v>17.616399661485438</v>
      </c>
    </row>
    <row r="21" spans="1:18">
      <c r="A21">
        <v>7</v>
      </c>
      <c r="B21" t="s">
        <v>67</v>
      </c>
      <c r="C21" s="9">
        <f>Week2!H8</f>
        <v>-44.469606481807517</v>
      </c>
      <c r="D21" s="9">
        <f>Week3!H8</f>
        <v>-19.390811302664815</v>
      </c>
      <c r="E21" s="9">
        <f>Week4!H8</f>
        <v>-9.0729029212903214</v>
      </c>
      <c r="F21" s="9">
        <f>Week5!H8</f>
        <v>19.857000765088923</v>
      </c>
    </row>
    <row r="22" spans="1:18">
      <c r="A22">
        <v>8</v>
      </c>
      <c r="B22" t="s">
        <v>67</v>
      </c>
      <c r="C22" s="9">
        <f>Week2!H9</f>
        <v>0.7243692643940487</v>
      </c>
      <c r="D22" s="9">
        <f>Week3!H9</f>
        <v>1.4007880989919386</v>
      </c>
      <c r="E22" s="9">
        <f>Week4!H9</f>
        <v>2.3673717536946097</v>
      </c>
      <c r="F22" s="9">
        <f>Week5!H9</f>
        <v>-0.17825199871092789</v>
      </c>
    </row>
    <row r="25" spans="1:18">
      <c r="D25" s="2" t="s">
        <v>68</v>
      </c>
    </row>
    <row r="26" spans="1:18">
      <c r="A26" t="s">
        <v>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69</v>
      </c>
      <c r="I26" t="s">
        <v>70</v>
      </c>
      <c r="J26" t="s">
        <v>71</v>
      </c>
      <c r="K26" t="s">
        <v>72</v>
      </c>
      <c r="L26" t="s">
        <v>73</v>
      </c>
      <c r="M26" t="s">
        <v>74</v>
      </c>
      <c r="P26" t="s">
        <v>75</v>
      </c>
      <c r="Q26" t="s">
        <v>76</v>
      </c>
      <c r="R26" t="s">
        <v>104</v>
      </c>
    </row>
    <row r="27" spans="1:18">
      <c r="A27">
        <v>1</v>
      </c>
      <c r="B27" s="3">
        <f>Week1!F2</f>
        <v>1.5192269382386801E-55</v>
      </c>
      <c r="C27" s="3">
        <f>Week2!F2</f>
        <v>5.6241271475019997E-35</v>
      </c>
      <c r="D27" s="3">
        <f>Week3!F2</f>
        <v>-1.58899575668444E-28</v>
      </c>
      <c r="E27" s="3">
        <f>Week4!F2</f>
        <v>-1.9365253523356699E-32</v>
      </c>
      <c r="F27" s="3">
        <f>Week5!F2</f>
        <v>0</v>
      </c>
      <c r="G27" s="3">
        <f>Week6!F2</f>
        <v>-2.4207951479406601E-51</v>
      </c>
      <c r="H27" s="3">
        <f>Week7!F2</f>
        <v>2.45415370407854E-54</v>
      </c>
      <c r="I27" s="3">
        <f>Week8!F2</f>
        <v>1.55842898547174E-23</v>
      </c>
      <c r="J27" s="3">
        <f>Week9!F2</f>
        <v>5.2647530338544495E-57</v>
      </c>
      <c r="P27" s="3" t="str">
        <f>INDEX($B$26:$M$26, MATCH(MAX(B27:M27), B27:M27, 0))</f>
        <v>Week8</v>
      </c>
      <c r="Q27" s="3">
        <f>MAX(B27:M27)</f>
        <v>1.55842898547174E-23</v>
      </c>
      <c r="R27" t="s">
        <v>78</v>
      </c>
    </row>
    <row r="28" spans="1:18" ht="34">
      <c r="A28">
        <v>2</v>
      </c>
      <c r="B28" s="3">
        <f>Week1!F3</f>
        <v>7.8279871043669E-2</v>
      </c>
      <c r="C28" s="3">
        <f>Week2!F3</f>
        <v>0.52398534129501795</v>
      </c>
      <c r="D28" s="3">
        <f>Week3!F3</f>
        <v>0.41440446386451901</v>
      </c>
      <c r="E28" s="3">
        <f>Week4!F3</f>
        <v>0.50731325542921302</v>
      </c>
      <c r="F28" s="3">
        <f>Week5!F3</f>
        <v>-7.8202085575153398E-3</v>
      </c>
      <c r="G28" s="3">
        <f>Week6!F3</f>
        <v>0.56924086824543896</v>
      </c>
      <c r="H28" s="3">
        <f>Week7!F3</f>
        <v>0.19283512655684401</v>
      </c>
      <c r="I28" s="3">
        <f>Week8!F3</f>
        <v>0.147156885668869</v>
      </c>
      <c r="J28" s="3">
        <f>Week9!F3</f>
        <v>0.63564435544545905</v>
      </c>
      <c r="P28" s="3" t="str">
        <f t="shared" ref="P28:P34" si="0">INDEX($B$26:$M$26, MATCH(MAX(B28:M28), B28:M28, 0))</f>
        <v>Week9</v>
      </c>
      <c r="Q28" s="3">
        <f t="shared" ref="Q28:Q34" si="1">MAX(B28:M28)</f>
        <v>0.63564435544545905</v>
      </c>
      <c r="R28" s="13" t="s">
        <v>177</v>
      </c>
    </row>
    <row r="29" spans="1:18" ht="17">
      <c r="A29">
        <v>3</v>
      </c>
      <c r="B29" s="3">
        <f>Week1!F4</f>
        <v>-4.2583435652523802E-2</v>
      </c>
      <c r="C29" s="3">
        <f>Week2!F4</f>
        <v>-7.1645825427363698E-3</v>
      </c>
      <c r="D29" s="3">
        <f>Week3!F4</f>
        <v>-4.77535808487883E-2</v>
      </c>
      <c r="E29" s="3">
        <f>Week4!F4</f>
        <v>-1.64041892396753E-2</v>
      </c>
      <c r="F29" s="3">
        <f>Week5!F4</f>
        <v>-4.5776372069054702E-2</v>
      </c>
      <c r="G29" s="3">
        <f>Week6!F4</f>
        <v>-4.4074741745635797E-2</v>
      </c>
      <c r="H29" s="3">
        <f>Week7!F4</f>
        <v>-3.3040646100640003E-2</v>
      </c>
      <c r="I29" s="3">
        <f>Week8!F4</f>
        <v>-5.44952338148788E-2</v>
      </c>
      <c r="J29" s="3">
        <f>Week9!F4</f>
        <v>-2.6296009521582001E-3</v>
      </c>
      <c r="P29" s="3" t="str">
        <f t="shared" si="0"/>
        <v>Week9</v>
      </c>
      <c r="Q29" s="3">
        <f t="shared" si="1"/>
        <v>-2.6296009521582001E-3</v>
      </c>
      <c r="R29" s="13" t="s">
        <v>177</v>
      </c>
    </row>
    <row r="30" spans="1:18">
      <c r="A30">
        <v>4</v>
      </c>
      <c r="B30" s="3">
        <f>Week1!F5</f>
        <v>-0.281966339453947</v>
      </c>
      <c r="C30" s="3">
        <f>Week2!F5</f>
        <v>-2.50936323387395</v>
      </c>
      <c r="D30" s="3">
        <f>Week3!F5</f>
        <v>-2.2686705479562499</v>
      </c>
      <c r="E30" s="3">
        <f>Week4!F5</f>
        <v>-0.81146453991068301</v>
      </c>
      <c r="F30" s="3">
        <f>Week5!F5</f>
        <v>-1.5478681188544401</v>
      </c>
      <c r="G30" s="3">
        <f>Week6!F5</f>
        <v>-1.2401877238019301</v>
      </c>
      <c r="H30" s="3">
        <f>Week7!F5</f>
        <v>0.57749759425457003</v>
      </c>
      <c r="I30" s="3">
        <f>Week8!F5</f>
        <v>0.38876268954520699</v>
      </c>
      <c r="J30" s="3">
        <f>Week9!F5</f>
        <v>0.57701270290822404</v>
      </c>
      <c r="P30" s="3" t="str">
        <f t="shared" si="0"/>
        <v>Week7</v>
      </c>
      <c r="Q30" s="3">
        <f t="shared" si="1"/>
        <v>0.57749759425457003</v>
      </c>
      <c r="R30" t="s">
        <v>78</v>
      </c>
    </row>
    <row r="31" spans="1:18">
      <c r="A31">
        <v>5</v>
      </c>
      <c r="B31" s="3">
        <f>Week1!F6</f>
        <v>1035.78336893086</v>
      </c>
      <c r="C31" s="3">
        <f>Week2!F6</f>
        <v>1221.5705853873001</v>
      </c>
      <c r="D31" s="3">
        <f>Week3!F6</f>
        <v>2763.1361350550201</v>
      </c>
      <c r="E31" s="3">
        <f>Week4!F6</f>
        <v>1699.44147161398</v>
      </c>
      <c r="F31" s="3">
        <f>Week5!F6</f>
        <v>4021.5011695428002</v>
      </c>
      <c r="G31" s="3">
        <f>Week6!F6</f>
        <v>1938.943267221</v>
      </c>
      <c r="H31" s="3">
        <f>Week7!F6</f>
        <v>4310.9805594415402</v>
      </c>
      <c r="I31" s="3">
        <f>Week8!F6</f>
        <v>4158.7866946484401</v>
      </c>
      <c r="J31" s="3">
        <f>Week9!F6</f>
        <v>4189.1605631845196</v>
      </c>
      <c r="P31" s="3" t="str">
        <f t="shared" si="0"/>
        <v>Week7</v>
      </c>
      <c r="Q31" s="3">
        <f t="shared" si="1"/>
        <v>4310.9805594415402</v>
      </c>
      <c r="R31" t="s">
        <v>78</v>
      </c>
    </row>
    <row r="32" spans="1:18">
      <c r="A32">
        <v>6</v>
      </c>
      <c r="B32" s="3">
        <f>Week1!F7</f>
        <v>-0.74650183034008499</v>
      </c>
      <c r="C32" s="3">
        <f>Week2!F7</f>
        <v>-0.32481759704902602</v>
      </c>
      <c r="D32" s="3">
        <f>Week3!F7</f>
        <v>-0.83816374113646996</v>
      </c>
      <c r="E32" s="3">
        <f>Week4!F7</f>
        <v>-0.12430862230397099</v>
      </c>
      <c r="F32" s="3">
        <f>Week5!F7</f>
        <v>-0.22242976401612999</v>
      </c>
      <c r="G32" s="3">
        <f>Week6!F7</f>
        <v>-0.20723711476707399</v>
      </c>
      <c r="H32" s="3">
        <f>Week7!F7</f>
        <v>-0.15947669058205399</v>
      </c>
      <c r="I32" s="3">
        <f>Week8!F7</f>
        <v>-0.28274379072022199</v>
      </c>
      <c r="J32" s="3">
        <f>Week9!F7</f>
        <v>-0.14749973636875199</v>
      </c>
      <c r="P32" s="3" t="str">
        <f t="shared" si="0"/>
        <v>Week4</v>
      </c>
      <c r="Q32" s="3">
        <f t="shared" si="1"/>
        <v>-0.12430862230397099</v>
      </c>
      <c r="R32" t="s">
        <v>79</v>
      </c>
    </row>
    <row r="33" spans="1:18">
      <c r="A33">
        <v>7</v>
      </c>
      <c r="B33" s="3">
        <f>Week1!F8</f>
        <v>0.62260078986399703</v>
      </c>
      <c r="C33" s="3">
        <f>Week2!F8</f>
        <v>1.51524322953832</v>
      </c>
      <c r="D33" s="3">
        <f>Week3!F8</f>
        <v>1.0711503490830101</v>
      </c>
      <c r="E33" s="3">
        <f>Week4!F8</f>
        <v>0.93367380184557403</v>
      </c>
      <c r="F33" s="3">
        <f>Week5!F8</f>
        <v>1.85974769401657</v>
      </c>
      <c r="G33" s="3">
        <f>Week6!F8</f>
        <v>1.88380795677045</v>
      </c>
      <c r="H33" s="3">
        <f>Week7!F8</f>
        <v>1.8684324311018099</v>
      </c>
      <c r="I33" s="3">
        <f>Week8!F8</f>
        <v>1.4390676532540101</v>
      </c>
      <c r="J33" s="3">
        <f>Week9!F8</f>
        <v>1.7512570814124699</v>
      </c>
      <c r="P33" s="3" t="str">
        <f t="shared" si="0"/>
        <v>Week6</v>
      </c>
      <c r="Q33" s="3">
        <f t="shared" si="1"/>
        <v>1.88380795677045</v>
      </c>
      <c r="R33" t="s">
        <v>79</v>
      </c>
    </row>
    <row r="34" spans="1:18">
      <c r="A34">
        <v>8</v>
      </c>
      <c r="B34" s="3">
        <f>Week1!F9</f>
        <v>9.9072611183611006</v>
      </c>
      <c r="C34" s="3">
        <f>Week2!F9</f>
        <v>9.5267168451680995</v>
      </c>
      <c r="D34" s="3">
        <f>Week3!F9</f>
        <v>9.6654965798450991</v>
      </c>
      <c r="E34" s="3">
        <f>Week4!F9</f>
        <v>9.9000382811173999</v>
      </c>
      <c r="F34" s="3">
        <f>Week5!F9</f>
        <v>9.9322064977795996</v>
      </c>
      <c r="G34" s="3">
        <f>Week6!F9</f>
        <v>9.9707717627203998</v>
      </c>
      <c r="H34" s="3">
        <f>Week7!F9</f>
        <v>9.9515462235145993</v>
      </c>
      <c r="I34" s="3">
        <f>Week8!F9</f>
        <v>9.9534885233509005</v>
      </c>
      <c r="J34" s="3">
        <f>Week9!F9</f>
        <v>6.4336900000000004</v>
      </c>
      <c r="P34" s="3" t="str">
        <f t="shared" si="0"/>
        <v>Week6</v>
      </c>
      <c r="Q34" s="3">
        <f t="shared" si="1"/>
        <v>9.9707717627203998</v>
      </c>
      <c r="R34" t="s">
        <v>79</v>
      </c>
    </row>
    <row r="37" spans="1:18">
      <c r="D37" s="2" t="s">
        <v>77</v>
      </c>
    </row>
    <row r="38" spans="1:18">
      <c r="A38" t="s">
        <v>0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69</v>
      </c>
      <c r="I38" t="s">
        <v>70</v>
      </c>
      <c r="J38" t="s">
        <v>71</v>
      </c>
      <c r="K38" t="s">
        <v>72</v>
      </c>
      <c r="L38" t="s">
        <v>73</v>
      </c>
      <c r="M38" t="s">
        <v>74</v>
      </c>
    </row>
    <row r="39" spans="1:18" ht="34">
      <c r="A39">
        <v>1</v>
      </c>
      <c r="B39" t="s">
        <v>78</v>
      </c>
      <c r="C39" t="s">
        <v>78</v>
      </c>
      <c r="D39" t="s">
        <v>78</v>
      </c>
      <c r="E39" t="s">
        <v>79</v>
      </c>
      <c r="F39" t="s">
        <v>79</v>
      </c>
      <c r="G39" s="13" t="s">
        <v>125</v>
      </c>
      <c r="H39" s="13" t="s">
        <v>125</v>
      </c>
      <c r="I39" s="13" t="s">
        <v>125</v>
      </c>
      <c r="J39" s="13" t="s">
        <v>177</v>
      </c>
      <c r="K39" s="14" t="s">
        <v>188</v>
      </c>
    </row>
    <row r="40" spans="1:18" ht="21" customHeight="1">
      <c r="A40">
        <v>2</v>
      </c>
      <c r="B40" t="s">
        <v>78</v>
      </c>
      <c r="C40" t="s">
        <v>78</v>
      </c>
      <c r="D40" t="s">
        <v>78</v>
      </c>
      <c r="E40" t="s">
        <v>79</v>
      </c>
      <c r="F40" t="s">
        <v>79</v>
      </c>
      <c r="G40" s="13" t="s">
        <v>125</v>
      </c>
      <c r="H40" s="13" t="s">
        <v>125</v>
      </c>
      <c r="I40" s="13" t="s">
        <v>125</v>
      </c>
      <c r="J40" s="13" t="s">
        <v>177</v>
      </c>
      <c r="K40" s="13" t="s">
        <v>188</v>
      </c>
    </row>
    <row r="41" spans="1:18" ht="23" customHeight="1">
      <c r="A41">
        <v>3</v>
      </c>
      <c r="B41" t="s">
        <v>78</v>
      </c>
      <c r="C41" t="s">
        <v>78</v>
      </c>
      <c r="D41" t="s">
        <v>78</v>
      </c>
      <c r="E41" t="s">
        <v>79</v>
      </c>
      <c r="F41" t="s">
        <v>79</v>
      </c>
      <c r="G41" s="13" t="s">
        <v>125</v>
      </c>
      <c r="H41" s="13" t="s">
        <v>125</v>
      </c>
      <c r="I41" s="13" t="s">
        <v>125</v>
      </c>
      <c r="J41" s="13" t="s">
        <v>177</v>
      </c>
      <c r="K41" s="13" t="s">
        <v>188</v>
      </c>
    </row>
    <row r="42" spans="1:18" ht="19" customHeight="1">
      <c r="A42">
        <v>4</v>
      </c>
      <c r="B42" t="s">
        <v>78</v>
      </c>
      <c r="C42" t="s">
        <v>78</v>
      </c>
      <c r="D42" t="s">
        <v>78</v>
      </c>
      <c r="E42" t="s">
        <v>79</v>
      </c>
      <c r="F42" s="10" t="s">
        <v>98</v>
      </c>
      <c r="G42" s="13" t="s">
        <v>125</v>
      </c>
      <c r="H42" s="13" t="s">
        <v>125</v>
      </c>
      <c r="I42" s="13" t="s">
        <v>125</v>
      </c>
      <c r="J42" s="13" t="s">
        <v>177</v>
      </c>
      <c r="K42" s="14" t="s">
        <v>78</v>
      </c>
    </row>
    <row r="43" spans="1:18" s="14" customFormat="1" ht="23" customHeight="1">
      <c r="A43" s="14">
        <v>5</v>
      </c>
      <c r="B43" s="14" t="s">
        <v>78</v>
      </c>
      <c r="C43" s="14" t="s">
        <v>78</v>
      </c>
      <c r="D43" s="14" t="s">
        <v>78</v>
      </c>
      <c r="E43" s="14" t="s">
        <v>79</v>
      </c>
      <c r="F43" s="15" t="s">
        <v>98</v>
      </c>
      <c r="G43" s="14" t="s">
        <v>79</v>
      </c>
      <c r="H43" s="16" t="s">
        <v>125</v>
      </c>
      <c r="I43" s="13" t="s">
        <v>125</v>
      </c>
      <c r="J43" s="13" t="s">
        <v>177</v>
      </c>
      <c r="K43" s="14" t="s">
        <v>78</v>
      </c>
    </row>
    <row r="44" spans="1:18" ht="34">
      <c r="A44">
        <v>6</v>
      </c>
      <c r="B44" t="s">
        <v>78</v>
      </c>
      <c r="C44" t="s">
        <v>78</v>
      </c>
      <c r="D44" t="s">
        <v>78</v>
      </c>
      <c r="E44" t="s">
        <v>79</v>
      </c>
      <c r="F44" t="s">
        <v>79</v>
      </c>
      <c r="G44" t="s">
        <v>79</v>
      </c>
      <c r="H44" t="s">
        <v>79</v>
      </c>
      <c r="I44" s="13" t="s">
        <v>79</v>
      </c>
      <c r="J44" s="13" t="s">
        <v>177</v>
      </c>
      <c r="K44" t="s">
        <v>79</v>
      </c>
    </row>
    <row r="45" spans="1:18" ht="17">
      <c r="A45">
        <v>7</v>
      </c>
      <c r="B45" t="s">
        <v>78</v>
      </c>
      <c r="C45" t="s">
        <v>78</v>
      </c>
      <c r="D45" t="s">
        <v>78</v>
      </c>
      <c r="E45" t="s">
        <v>79</v>
      </c>
      <c r="F45" t="s">
        <v>79</v>
      </c>
      <c r="G45" t="s">
        <v>79</v>
      </c>
      <c r="H45" t="s">
        <v>79</v>
      </c>
      <c r="I45" s="13" t="s">
        <v>79</v>
      </c>
      <c r="J45" s="13" t="s">
        <v>179</v>
      </c>
      <c r="K45" t="s">
        <v>79</v>
      </c>
    </row>
    <row r="46" spans="1:18" ht="17">
      <c r="A46">
        <v>8</v>
      </c>
      <c r="B46" t="s">
        <v>78</v>
      </c>
      <c r="C46" t="s">
        <v>78</v>
      </c>
      <c r="D46" t="s">
        <v>78</v>
      </c>
      <c r="E46" t="s">
        <v>79</v>
      </c>
      <c r="F46" t="s">
        <v>79</v>
      </c>
      <c r="G46" t="s">
        <v>79</v>
      </c>
      <c r="H46" t="s">
        <v>79</v>
      </c>
      <c r="I46" s="13" t="s">
        <v>79</v>
      </c>
      <c r="J46" s="13" t="s">
        <v>179</v>
      </c>
      <c r="K46" t="s">
        <v>79</v>
      </c>
    </row>
  </sheetData>
  <mergeCells count="1">
    <mergeCell ref="B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24D0-3EE8-574E-B469-EA462702BA66}">
  <dimension ref="A1:I9"/>
  <sheetViews>
    <sheetView workbookViewId="0">
      <selection activeCell="F3" sqref="F3"/>
    </sheetView>
  </sheetViews>
  <sheetFormatPr baseColWidth="10" defaultRowHeight="16"/>
  <cols>
    <col min="3" max="3" width="92" customWidth="1"/>
    <col min="4" max="4" width="61.1640625" customWidth="1"/>
    <col min="5" max="5" width="28" bestFit="1" customWidth="1"/>
    <col min="6" max="6" width="19" bestFit="1" customWidth="1"/>
    <col min="7" max="7" width="22.83203125" style="7" bestFit="1" customWidth="1"/>
    <col min="8" max="8" width="31.5" bestFit="1" customWidth="1"/>
  </cols>
  <sheetData>
    <row r="1" spans="1:9">
      <c r="A1" t="s">
        <v>38</v>
      </c>
      <c r="B1" t="s">
        <v>0</v>
      </c>
      <c r="C1" t="s">
        <v>1</v>
      </c>
      <c r="D1" t="s">
        <v>40</v>
      </c>
      <c r="E1" s="2" t="s">
        <v>15</v>
      </c>
      <c r="F1" s="2" t="s">
        <v>16</v>
      </c>
      <c r="G1" s="6" t="s">
        <v>18</v>
      </c>
      <c r="H1" s="2" t="s">
        <v>14</v>
      </c>
    </row>
    <row r="2" spans="1:9" ht="18">
      <c r="A2">
        <v>1</v>
      </c>
      <c r="B2">
        <v>1</v>
      </c>
      <c r="C2" t="s">
        <v>2</v>
      </c>
      <c r="D2" t="s">
        <v>41</v>
      </c>
      <c r="E2">
        <v>7.7108751145028402E-16</v>
      </c>
      <c r="F2" s="4">
        <v>1.5192269382386801E-55</v>
      </c>
      <c r="G2" s="8">
        <f>(ABS(E2 -F2)/MAX(ABS(E2),ABS(F2)) )* 100</f>
        <v>100</v>
      </c>
      <c r="H2" s="3" t="s">
        <v>17</v>
      </c>
      <c r="I2" s="3"/>
    </row>
    <row r="3" spans="1:9" ht="18">
      <c r="A3">
        <v>2</v>
      </c>
      <c r="B3">
        <v>2</v>
      </c>
      <c r="C3" t="s">
        <v>3</v>
      </c>
      <c r="D3" t="s">
        <v>41</v>
      </c>
      <c r="E3">
        <v>0.611205</v>
      </c>
      <c r="F3" s="5">
        <v>7.8279871043669E-2</v>
      </c>
      <c r="G3" s="8">
        <f t="shared" ref="G3:G9" si="0">(ABS(E3 -F3)/MAX(ABS(E3),ABS(F3)) )* 100</f>
        <v>87.192534248955923</v>
      </c>
    </row>
    <row r="4" spans="1:9" ht="18">
      <c r="A4">
        <v>3</v>
      </c>
      <c r="B4">
        <v>3</v>
      </c>
      <c r="C4" t="s">
        <v>4</v>
      </c>
      <c r="D4" t="s">
        <v>41</v>
      </c>
      <c r="E4">
        <v>-3.4834999999999998E-2</v>
      </c>
      <c r="F4" s="5">
        <v>-4.2583435652523802E-2</v>
      </c>
      <c r="G4" s="8">
        <f t="shared" si="0"/>
        <v>18.195891275072764</v>
      </c>
    </row>
    <row r="5" spans="1:9" ht="18">
      <c r="A5">
        <v>4</v>
      </c>
      <c r="B5">
        <v>4</v>
      </c>
      <c r="C5" t="s">
        <v>6</v>
      </c>
      <c r="D5" t="s">
        <v>5</v>
      </c>
      <c r="E5">
        <v>-4.0255419999999997</v>
      </c>
      <c r="F5" s="5">
        <v>-0.281966339453947</v>
      </c>
      <c r="G5" s="8">
        <f t="shared" si="0"/>
        <v>92.995568312193811</v>
      </c>
    </row>
    <row r="6" spans="1:9" ht="18">
      <c r="A6">
        <v>5</v>
      </c>
      <c r="B6">
        <v>5</v>
      </c>
      <c r="C6" t="s">
        <v>7</v>
      </c>
      <c r="D6" t="s">
        <v>5</v>
      </c>
      <c r="E6">
        <v>1088.8499999999999</v>
      </c>
      <c r="F6" s="5">
        <v>1035.78336893086</v>
      </c>
      <c r="G6" s="8">
        <f t="shared" si="0"/>
        <v>4.8736401771722404</v>
      </c>
    </row>
    <row r="7" spans="1:9" ht="102">
      <c r="A7">
        <v>6</v>
      </c>
      <c r="B7">
        <v>6</v>
      </c>
      <c r="C7" t="s">
        <v>9</v>
      </c>
      <c r="D7" s="1" t="s">
        <v>8</v>
      </c>
      <c r="E7">
        <v>-0.71426400000000001</v>
      </c>
      <c r="F7" s="5">
        <v>-0.74650183034008499</v>
      </c>
      <c r="G7" s="8">
        <f t="shared" si="0"/>
        <v>4.3185199325497097</v>
      </c>
    </row>
    <row r="8" spans="1:9" ht="51">
      <c r="A8">
        <v>7</v>
      </c>
      <c r="B8">
        <v>7</v>
      </c>
      <c r="C8" t="s">
        <v>11</v>
      </c>
      <c r="D8" s="1" t="s">
        <v>10</v>
      </c>
      <c r="E8">
        <v>1.364968</v>
      </c>
      <c r="F8" s="5">
        <v>0.62260078986399703</v>
      </c>
      <c r="G8" s="8">
        <f t="shared" si="0"/>
        <v>54.387151210578047</v>
      </c>
    </row>
    <row r="9" spans="1:9" ht="18">
      <c r="A9">
        <v>8</v>
      </c>
      <c r="B9">
        <v>8</v>
      </c>
      <c r="C9" t="s">
        <v>13</v>
      </c>
      <c r="D9" t="s">
        <v>12</v>
      </c>
      <c r="E9">
        <v>9.5984820000000006</v>
      </c>
      <c r="F9" s="5">
        <v>9.9072611183611006</v>
      </c>
      <c r="G9" s="8">
        <f t="shared" si="0"/>
        <v>3.1166950650855507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22E2-B3A8-2649-8279-1E422A0E6F01}">
  <dimension ref="A1:I9"/>
  <sheetViews>
    <sheetView workbookViewId="0">
      <selection activeCell="H2" sqref="H2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62.8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</cols>
  <sheetData>
    <row r="1" spans="1:9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</row>
    <row r="2" spans="1:9" ht="18">
      <c r="A2">
        <v>1</v>
      </c>
      <c r="B2">
        <v>1</v>
      </c>
      <c r="C2" t="s">
        <v>19</v>
      </c>
      <c r="D2" s="10" t="s">
        <v>41</v>
      </c>
      <c r="E2" s="3">
        <v>7.7108751145028402E-16</v>
      </c>
      <c r="F2" s="4">
        <v>5.6241271475019997E-35</v>
      </c>
      <c r="G2" s="8">
        <f>(ABS(E2 -F2)/MAX(ABS(E2),ABS(F2)) )* 100</f>
        <v>100</v>
      </c>
      <c r="H2" s="8">
        <f>G2-Week1!G2</f>
        <v>0</v>
      </c>
      <c r="I2" t="s">
        <v>42</v>
      </c>
    </row>
    <row r="3" spans="1:9" ht="18">
      <c r="A3">
        <v>2</v>
      </c>
      <c r="B3">
        <v>2</v>
      </c>
      <c r="C3" t="s">
        <v>20</v>
      </c>
      <c r="D3" s="10" t="s">
        <v>41</v>
      </c>
      <c r="E3">
        <v>0.61120521576144304</v>
      </c>
      <c r="F3" s="5">
        <v>0.52398534129501795</v>
      </c>
      <c r="G3" s="8">
        <f t="shared" ref="G3:G9" si="0">(ABS(E3 -F3)/MAX(ABS(E3),ABS(F3)) )* 100</f>
        <v>14.270145642943518</v>
      </c>
      <c r="H3" s="8">
        <f>G3-Week1!G3</f>
        <v>-72.922388606012404</v>
      </c>
    </row>
    <row r="4" spans="1:9" ht="18">
      <c r="A4">
        <v>3</v>
      </c>
      <c r="B4">
        <v>3</v>
      </c>
      <c r="C4" t="s">
        <v>21</v>
      </c>
      <c r="D4" s="10" t="s">
        <v>41</v>
      </c>
      <c r="E4">
        <v>-3.4835313350078501E-2</v>
      </c>
      <c r="F4" s="5">
        <v>-7.1645825427363698E-3</v>
      </c>
      <c r="G4" s="8">
        <f t="shared" si="0"/>
        <v>79.432989533535448</v>
      </c>
      <c r="H4" s="8">
        <f>G4-Week1!G4</f>
        <v>61.23709825846268</v>
      </c>
    </row>
    <row r="5" spans="1:9" ht="18">
      <c r="A5">
        <v>4</v>
      </c>
      <c r="B5">
        <v>4</v>
      </c>
      <c r="C5" t="s">
        <v>23</v>
      </c>
      <c r="D5" t="s">
        <v>22</v>
      </c>
      <c r="E5">
        <v>-4.0255422819081597</v>
      </c>
      <c r="F5" s="5">
        <v>-2.50936323387395</v>
      </c>
      <c r="G5" s="8">
        <f t="shared" si="0"/>
        <v>37.663970264287499</v>
      </c>
      <c r="H5" s="8">
        <f>G5-Week1!G5</f>
        <v>-55.331598047906311</v>
      </c>
    </row>
    <row r="6" spans="1:9" ht="18">
      <c r="A6">
        <v>5</v>
      </c>
      <c r="B6">
        <v>5</v>
      </c>
      <c r="C6" t="s">
        <v>24</v>
      </c>
      <c r="D6" t="s">
        <v>22</v>
      </c>
      <c r="E6">
        <v>1088.85961</v>
      </c>
      <c r="F6" s="5">
        <v>1221.5705853873001</v>
      </c>
      <c r="G6" s="8">
        <f t="shared" si="0"/>
        <v>10.863962915841164</v>
      </c>
      <c r="H6" s="8">
        <f>G6-Week1!G6</f>
        <v>5.9903227386689233</v>
      </c>
    </row>
    <row r="7" spans="1:9" ht="18">
      <c r="A7">
        <v>6</v>
      </c>
      <c r="B7">
        <v>6</v>
      </c>
      <c r="C7" t="s">
        <v>28</v>
      </c>
      <c r="D7" s="1" t="s">
        <v>25</v>
      </c>
      <c r="E7">
        <v>-0.71426494782023997</v>
      </c>
      <c r="F7" s="5">
        <v>-0.32481759704902602</v>
      </c>
      <c r="G7" s="8">
        <f t="shared" si="0"/>
        <v>54.524214293269047</v>
      </c>
      <c r="H7" s="8">
        <f>G7-Week1!G7</f>
        <v>50.205694360719335</v>
      </c>
    </row>
    <row r="8" spans="1:9" ht="18">
      <c r="A8">
        <v>7</v>
      </c>
      <c r="B8">
        <v>7</v>
      </c>
      <c r="C8" t="s">
        <v>27</v>
      </c>
      <c r="D8" s="1" t="s">
        <v>26</v>
      </c>
      <c r="E8">
        <v>1.36496830449919</v>
      </c>
      <c r="F8" s="5">
        <v>1.51524322953832</v>
      </c>
      <c r="G8" s="8">
        <f t="shared" si="0"/>
        <v>9.9175447287705296</v>
      </c>
      <c r="H8" s="8">
        <f>G8-Week1!G8</f>
        <v>-44.469606481807517</v>
      </c>
    </row>
    <row r="9" spans="1:9" ht="18">
      <c r="A9">
        <v>8</v>
      </c>
      <c r="B9">
        <v>8</v>
      </c>
      <c r="C9" t="s">
        <v>30</v>
      </c>
      <c r="D9" t="s">
        <v>29</v>
      </c>
      <c r="E9">
        <v>9.9072611179999992</v>
      </c>
      <c r="F9" s="5">
        <v>9.5267168451680995</v>
      </c>
      <c r="G9" s="8">
        <f t="shared" si="0"/>
        <v>3.8410643294795994</v>
      </c>
      <c r="H9" s="8">
        <f>G9-Week1!G9</f>
        <v>0.7243692643940487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D462-19A3-004F-A7F1-8786013673B4}">
  <dimension ref="A1:I9"/>
  <sheetViews>
    <sheetView workbookViewId="0">
      <selection activeCell="H2" sqref="H2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62.8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</cols>
  <sheetData>
    <row r="1" spans="1:9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</row>
    <row r="2" spans="1:9" ht="18">
      <c r="A2">
        <v>1</v>
      </c>
      <c r="B2">
        <v>1</v>
      </c>
      <c r="C2" t="s">
        <v>45</v>
      </c>
      <c r="D2" s="10" t="s">
        <v>44</v>
      </c>
      <c r="E2">
        <v>7.7108751145028402E-16</v>
      </c>
      <c r="F2" s="4">
        <v>-1.58899575668444E-28</v>
      </c>
      <c r="G2" s="8">
        <f>(ABS(E2 -F2)/MAX(ABS(E2),ABS(F2)) )* 100</f>
        <v>100.00000000002061</v>
      </c>
      <c r="H2" s="8">
        <f xml:space="preserve"> Week2!G2 - Week3!G2</f>
        <v>-2.0605739337042905E-11</v>
      </c>
    </row>
    <row r="3" spans="1:9" ht="18">
      <c r="A3">
        <v>2</v>
      </c>
      <c r="B3">
        <v>2</v>
      </c>
      <c r="C3" t="s">
        <v>46</v>
      </c>
      <c r="D3" s="10" t="s">
        <v>47</v>
      </c>
      <c r="E3">
        <v>0.61120521576144304</v>
      </c>
      <c r="F3" s="5">
        <v>0.41440446386451901</v>
      </c>
      <c r="G3" s="8">
        <f t="shared" ref="G3:G9" si="0">(ABS(E3 -F3)/MAX(ABS(E3),ABS(F3)) )* 100</f>
        <v>32.19880112635304</v>
      </c>
      <c r="H3" s="8">
        <f xml:space="preserve"> Week2!G3 - Week3!G3</f>
        <v>-17.928655483409521</v>
      </c>
    </row>
    <row r="4" spans="1:9" ht="18">
      <c r="A4">
        <v>3</v>
      </c>
      <c r="B4">
        <v>3</v>
      </c>
      <c r="C4" t="s">
        <v>48</v>
      </c>
      <c r="D4" s="10" t="s">
        <v>47</v>
      </c>
      <c r="E4">
        <v>-7.1645825427363698E-3</v>
      </c>
      <c r="F4" s="5">
        <v>-4.77535808487883E-2</v>
      </c>
      <c r="G4" s="8">
        <f t="shared" si="0"/>
        <v>84.996763770610158</v>
      </c>
      <c r="H4" s="8">
        <f xml:space="preserve"> Week2!G4 - Week3!G4</f>
        <v>-5.5637742370747105</v>
      </c>
    </row>
    <row r="5" spans="1:9" ht="18">
      <c r="A5">
        <v>4</v>
      </c>
      <c r="B5">
        <v>4</v>
      </c>
      <c r="C5" t="s">
        <v>50</v>
      </c>
      <c r="D5" t="s">
        <v>49</v>
      </c>
      <c r="E5">
        <v>-4.0255422819081597</v>
      </c>
      <c r="F5" s="5">
        <v>-2.2686705479562499</v>
      </c>
      <c r="G5" s="8">
        <f t="shared" si="0"/>
        <v>43.643107211859409</v>
      </c>
      <c r="H5" s="8">
        <f xml:space="preserve"> Week2!G5 - Week3!G5</f>
        <v>-5.9791369475719094</v>
      </c>
    </row>
    <row r="6" spans="1:9" ht="18">
      <c r="A6">
        <v>5</v>
      </c>
      <c r="B6">
        <v>5</v>
      </c>
      <c r="C6" t="s">
        <v>51</v>
      </c>
      <c r="D6" t="s">
        <v>49</v>
      </c>
      <c r="E6">
        <v>1221.5705853873001</v>
      </c>
      <c r="F6" s="5">
        <v>2763.1361350550201</v>
      </c>
      <c r="G6" s="8">
        <f t="shared" si="0"/>
        <v>55.79043066718188</v>
      </c>
      <c r="H6" s="8">
        <f xml:space="preserve"> Week2!G6 - Week3!G6</f>
        <v>-44.926467751340716</v>
      </c>
    </row>
    <row r="7" spans="1:9" ht="18">
      <c r="A7">
        <v>6</v>
      </c>
      <c r="B7">
        <v>6</v>
      </c>
      <c r="C7" t="s">
        <v>52</v>
      </c>
      <c r="D7" t="s">
        <v>49</v>
      </c>
      <c r="E7">
        <v>-0.32481759704902602</v>
      </c>
      <c r="F7" s="5">
        <v>-0.83816374113646996</v>
      </c>
      <c r="G7" s="8">
        <f t="shared" si="0"/>
        <v>61.246522474402866</v>
      </c>
      <c r="H7" s="8">
        <f xml:space="preserve"> Week2!G7 - Week3!G7</f>
        <v>-6.722308181133819</v>
      </c>
    </row>
    <row r="8" spans="1:9" ht="18">
      <c r="A8">
        <v>7</v>
      </c>
      <c r="B8">
        <v>7</v>
      </c>
      <c r="C8" t="s">
        <v>53</v>
      </c>
      <c r="D8" t="s">
        <v>49</v>
      </c>
      <c r="E8">
        <v>1.51524322953832</v>
      </c>
      <c r="F8" s="5">
        <v>1.0711503490830101</v>
      </c>
      <c r="G8" s="8">
        <f t="shared" si="0"/>
        <v>29.308356031435345</v>
      </c>
      <c r="H8" s="8">
        <f xml:space="preserve"> Week2!G8 - Week3!G8</f>
        <v>-19.390811302664815</v>
      </c>
    </row>
    <row r="9" spans="1:9" ht="18">
      <c r="A9">
        <v>8</v>
      </c>
      <c r="B9">
        <v>8</v>
      </c>
      <c r="C9" t="s">
        <v>55</v>
      </c>
      <c r="D9" t="s">
        <v>54</v>
      </c>
      <c r="E9">
        <v>9.9072611179999992</v>
      </c>
      <c r="F9" s="5">
        <v>9.6654965798450991</v>
      </c>
      <c r="G9" s="8">
        <f t="shared" si="0"/>
        <v>2.4402762304876608</v>
      </c>
      <c r="H9" s="8">
        <f xml:space="preserve"> Week2!G9 - Week3!G9</f>
        <v>1.4007880989919386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BEF5-188E-484A-A36F-5FEF19FCEA60}">
  <dimension ref="A1:J9"/>
  <sheetViews>
    <sheetView workbookViewId="0">
      <selection activeCell="G2" sqref="G2:H9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62.8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  <col min="10" max="10" width="17.83203125" bestFit="1" customWidth="1"/>
  </cols>
  <sheetData>
    <row r="1" spans="1:10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  <c r="J1" s="2" t="s">
        <v>57</v>
      </c>
    </row>
    <row r="2" spans="1:10" ht="18">
      <c r="A2">
        <v>1</v>
      </c>
      <c r="B2">
        <v>1</v>
      </c>
      <c r="C2" t="s">
        <v>56</v>
      </c>
      <c r="D2" s="10" t="s">
        <v>58</v>
      </c>
      <c r="E2">
        <v>7.7108751145028402E-16</v>
      </c>
      <c r="F2" s="4">
        <v>-1.9365253523356699E-32</v>
      </c>
      <c r="G2" s="8">
        <f>(ABS(E2 -F2)/MAX(ABS(E2),ABS(F2)) )* 100</f>
        <v>100</v>
      </c>
      <c r="H2" s="8">
        <f xml:space="preserve"> Week3!G2 - Week4!G2</f>
        <v>2.0605739337042905E-11</v>
      </c>
      <c r="J2" s="12">
        <v>-1.8030313221813401E-3</v>
      </c>
    </row>
    <row r="3" spans="1:10" ht="18">
      <c r="A3">
        <v>2</v>
      </c>
      <c r="B3">
        <v>2</v>
      </c>
      <c r="C3" t="s">
        <v>59</v>
      </c>
      <c r="D3" s="10" t="s">
        <v>58</v>
      </c>
      <c r="E3">
        <v>0.61120521576144304</v>
      </c>
      <c r="F3" s="5">
        <v>0.50731325542921302</v>
      </c>
      <c r="G3" s="8">
        <f t="shared" ref="G3:G9" si="0">(ABS(E3 -F3)/MAX(ABS(E3),ABS(F3)) )* 100</f>
        <v>16.997885105218028</v>
      </c>
      <c r="H3" s="8">
        <f xml:space="preserve"> Week3!G3 - Week4!G3</f>
        <v>15.200916021135011</v>
      </c>
      <c r="J3" s="12">
        <v>0.46072066333868</v>
      </c>
    </row>
    <row r="4" spans="1:10" ht="18">
      <c r="A4">
        <v>3</v>
      </c>
      <c r="B4">
        <v>3</v>
      </c>
      <c r="C4" t="s">
        <v>60</v>
      </c>
      <c r="D4" s="10" t="s">
        <v>58</v>
      </c>
      <c r="E4">
        <v>-7.1645825427363698E-3</v>
      </c>
      <c r="F4" s="5">
        <v>-1.64041892396753E-2</v>
      </c>
      <c r="G4" s="8">
        <f t="shared" si="0"/>
        <v>56.324677568288138</v>
      </c>
      <c r="H4" s="8">
        <f xml:space="preserve"> Week3!G4 - Week4!G4</f>
        <v>28.672086202322021</v>
      </c>
      <c r="J4" s="12">
        <v>-9.7433678380296096E-2</v>
      </c>
    </row>
    <row r="5" spans="1:10" ht="18">
      <c r="A5">
        <v>4</v>
      </c>
      <c r="B5">
        <v>4</v>
      </c>
      <c r="C5" t="s">
        <v>61</v>
      </c>
      <c r="D5" s="10" t="s">
        <v>58</v>
      </c>
      <c r="E5">
        <v>-4.0255422819081597</v>
      </c>
      <c r="F5" s="5">
        <v>-0.81146453991068301</v>
      </c>
      <c r="G5" s="8">
        <f t="shared" si="0"/>
        <v>79.842106154054889</v>
      </c>
      <c r="H5" s="8">
        <f xml:space="preserve"> Week3!G5 - Week4!G5</f>
        <v>-36.19899894219548</v>
      </c>
      <c r="J5" s="12">
        <v>-10.4785092215352</v>
      </c>
    </row>
    <row r="6" spans="1:10" ht="18">
      <c r="A6">
        <v>5</v>
      </c>
      <c r="B6">
        <v>5</v>
      </c>
      <c r="C6" t="s">
        <v>62</v>
      </c>
      <c r="D6" s="10" t="s">
        <v>58</v>
      </c>
      <c r="E6">
        <v>2763.1361350550201</v>
      </c>
      <c r="F6" s="5">
        <v>1699.44147161398</v>
      </c>
      <c r="G6" s="8">
        <f t="shared" si="0"/>
        <v>38.495919543966281</v>
      </c>
      <c r="H6" s="8">
        <f xml:space="preserve"> Week3!G6 - Week4!G6</f>
        <v>17.294511123215599</v>
      </c>
      <c r="J6" s="12">
        <v>71.1123335074561</v>
      </c>
    </row>
    <row r="7" spans="1:10" ht="18">
      <c r="A7">
        <v>6</v>
      </c>
      <c r="B7">
        <v>6</v>
      </c>
      <c r="C7" t="s">
        <v>63</v>
      </c>
      <c r="D7" s="10" t="s">
        <v>58</v>
      </c>
      <c r="E7">
        <v>-0.32481759704902602</v>
      </c>
      <c r="F7" s="5">
        <v>-0.12430862230397099</v>
      </c>
      <c r="G7" s="8">
        <f t="shared" si="0"/>
        <v>61.729714327882121</v>
      </c>
      <c r="H7" s="8">
        <f xml:space="preserve"> Week3!G7 - Week4!G7</f>
        <v>-0.48319185347925497</v>
      </c>
      <c r="J7" s="12">
        <v>-0.39794817050921</v>
      </c>
    </row>
    <row r="8" spans="1:10" ht="18">
      <c r="A8">
        <v>7</v>
      </c>
      <c r="B8">
        <v>7</v>
      </c>
      <c r="C8" t="s">
        <v>64</v>
      </c>
      <c r="D8" s="10" t="s">
        <v>58</v>
      </c>
      <c r="E8">
        <v>1.51524322953832</v>
      </c>
      <c r="F8" s="5">
        <v>0.93367380184557403</v>
      </c>
      <c r="G8" s="8">
        <f t="shared" si="0"/>
        <v>38.381258952725666</v>
      </c>
      <c r="H8" s="8">
        <f xml:space="preserve"> Week3!G8 - Week4!G8</f>
        <v>-9.0729029212903214</v>
      </c>
      <c r="J8" s="12">
        <v>1.21964629028306</v>
      </c>
    </row>
    <row r="9" spans="1:10" ht="18">
      <c r="A9">
        <v>8</v>
      </c>
      <c r="B9">
        <v>8</v>
      </c>
      <c r="C9" t="s">
        <v>65</v>
      </c>
      <c r="D9" s="10" t="s">
        <v>58</v>
      </c>
      <c r="E9">
        <v>9.9072611179999992</v>
      </c>
      <c r="F9" s="5">
        <v>9.9000382811173999</v>
      </c>
      <c r="G9" s="8">
        <f t="shared" si="0"/>
        <v>7.2904476793051065E-2</v>
      </c>
      <c r="H9" s="8">
        <f xml:space="preserve"> Week3!G9 - Week4!G9</f>
        <v>2.3673717536946097</v>
      </c>
      <c r="J9" s="12">
        <v>10.4134816973233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3468-E5E2-7948-A4E1-947E6B8EE90D}">
  <dimension ref="A1:L35"/>
  <sheetViews>
    <sheetView workbookViewId="0">
      <selection activeCell="D18" sqref="D18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24.8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  <col min="10" max="10" width="17.83203125" bestFit="1" customWidth="1"/>
  </cols>
  <sheetData>
    <row r="1" spans="1:12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  <c r="J1" s="2" t="s">
        <v>57</v>
      </c>
    </row>
    <row r="2" spans="1:12" ht="18">
      <c r="A2">
        <v>1</v>
      </c>
      <c r="B2">
        <v>1</v>
      </c>
      <c r="C2" s="12" t="s">
        <v>80</v>
      </c>
      <c r="D2" s="10" t="s">
        <v>87</v>
      </c>
      <c r="E2" s="11">
        <v>7.7108751145028402E-16</v>
      </c>
      <c r="F2" s="5">
        <v>0</v>
      </c>
      <c r="G2" s="8">
        <f>(ABS(E2 -F2)/MAX(ABS(E2),ABS(F2)) )* 100</f>
        <v>100</v>
      </c>
      <c r="H2" s="8">
        <f xml:space="preserve"> Week4!G2 - Week5!G2</f>
        <v>0</v>
      </c>
      <c r="J2" s="12">
        <v>-1.8030313221813401E-3</v>
      </c>
      <c r="K2">
        <f>ABS(F2) - ABS(J2)</f>
        <v>-1.8030313221813401E-3</v>
      </c>
    </row>
    <row r="3" spans="1:12" ht="18">
      <c r="A3">
        <v>2</v>
      </c>
      <c r="B3">
        <v>2</v>
      </c>
      <c r="C3" s="12" t="s">
        <v>81</v>
      </c>
      <c r="D3" s="10" t="s">
        <v>87</v>
      </c>
      <c r="E3" s="12">
        <v>0.61120521576144304</v>
      </c>
      <c r="F3" s="5">
        <v>-7.8202085575153398E-3</v>
      </c>
      <c r="G3" s="8">
        <f t="shared" ref="G3:G9" si="0">(ABS(E3 -F3)/MAX(ABS(E3),ABS(F3)) )* 100</f>
        <v>101.27947346584287</v>
      </c>
      <c r="H3" s="8">
        <f xml:space="preserve"> Week4!G3 - Week5!G3</f>
        <v>-84.281588360624838</v>
      </c>
      <c r="J3" s="12">
        <v>0.68333209087795699</v>
      </c>
      <c r="K3">
        <f t="shared" ref="K3:K9" si="1">ABS(F3) - ABS(J3)</f>
        <v>-0.67551188232044168</v>
      </c>
    </row>
    <row r="4" spans="1:12" ht="18">
      <c r="A4">
        <v>3</v>
      </c>
      <c r="B4">
        <v>3</v>
      </c>
      <c r="C4" s="12" t="s">
        <v>82</v>
      </c>
      <c r="D4" s="10" t="s">
        <v>87</v>
      </c>
      <c r="E4" s="12">
        <v>-7.1645825427363698E-3</v>
      </c>
      <c r="F4" s="5">
        <v>-4.5776372069054702E-2</v>
      </c>
      <c r="G4" s="8">
        <f t="shared" si="0"/>
        <v>84.348732285012801</v>
      </c>
      <c r="H4" s="8">
        <f xml:space="preserve"> Week4!G4 - Week5!G4</f>
        <v>-28.024054716724663</v>
      </c>
      <c r="J4" s="12">
        <v>-9.8524768373733695E-2</v>
      </c>
      <c r="K4">
        <f t="shared" si="1"/>
        <v>-5.2748396304678993E-2</v>
      </c>
    </row>
    <row r="5" spans="1:12" ht="18">
      <c r="A5">
        <v>4</v>
      </c>
      <c r="B5">
        <v>4</v>
      </c>
      <c r="C5" s="12" t="s">
        <v>93</v>
      </c>
      <c r="D5" s="10" t="s">
        <v>98</v>
      </c>
      <c r="E5" s="12">
        <v>-0.28196633900000001</v>
      </c>
      <c r="F5" s="5">
        <v>-1.5478681188544401</v>
      </c>
      <c r="G5" s="8">
        <f t="shared" si="0"/>
        <v>81.783568279145115</v>
      </c>
      <c r="H5" s="8">
        <f xml:space="preserve"> Week4!G5 - Week5!G5</f>
        <v>-1.9414621250902258</v>
      </c>
      <c r="J5" s="12">
        <v>-2.6775999454187599E-2</v>
      </c>
      <c r="K5">
        <f t="shared" si="1"/>
        <v>1.5210921194002525</v>
      </c>
    </row>
    <row r="6" spans="1:12" ht="18">
      <c r="A6">
        <v>5</v>
      </c>
      <c r="B6">
        <v>5</v>
      </c>
      <c r="C6" s="12" t="s">
        <v>97</v>
      </c>
      <c r="D6" s="10" t="s">
        <v>98</v>
      </c>
      <c r="E6" s="12">
        <v>2763.1361350550201</v>
      </c>
      <c r="F6" s="5">
        <v>4021.5011695428002</v>
      </c>
      <c r="G6" s="8">
        <f t="shared" si="0"/>
        <v>31.290927975307341</v>
      </c>
      <c r="H6" s="8">
        <f xml:space="preserve"> Week4!G6 - Week5!G6</f>
        <v>7.2049915686589401</v>
      </c>
      <c r="J6" s="12">
        <v>2749.3105785207699</v>
      </c>
      <c r="K6">
        <f t="shared" si="1"/>
        <v>1272.1905910220303</v>
      </c>
    </row>
    <row r="7" spans="1:12" ht="18">
      <c r="A7">
        <v>6</v>
      </c>
      <c r="B7">
        <v>6</v>
      </c>
      <c r="C7" s="12" t="s">
        <v>102</v>
      </c>
      <c r="D7" s="10" t="s">
        <v>87</v>
      </c>
      <c r="E7" s="12">
        <v>-0.12430862230397099</v>
      </c>
      <c r="F7" s="5">
        <v>-0.22242976401612999</v>
      </c>
      <c r="G7" s="8">
        <f t="shared" si="0"/>
        <v>44.113314666396683</v>
      </c>
      <c r="H7" s="8">
        <f xml:space="preserve"> Week4!G7 - Week5!G7</f>
        <v>17.616399661485438</v>
      </c>
      <c r="J7" s="12">
        <v>-0.22304319416696899</v>
      </c>
      <c r="K7">
        <f t="shared" si="1"/>
        <v>-6.1343015083900609E-4</v>
      </c>
    </row>
    <row r="8" spans="1:12" ht="18">
      <c r="A8">
        <v>7</v>
      </c>
      <c r="B8">
        <v>7</v>
      </c>
      <c r="C8" s="12" t="s">
        <v>86</v>
      </c>
      <c r="D8" s="10" t="s">
        <v>87</v>
      </c>
      <c r="E8" s="12">
        <v>1.51524322953832</v>
      </c>
      <c r="F8" s="5">
        <v>1.85974769401657</v>
      </c>
      <c r="G8" s="8">
        <f t="shared" si="0"/>
        <v>18.524258187636743</v>
      </c>
      <c r="H8" s="8">
        <f xml:space="preserve"> Week4!G8 - Week5!G8</f>
        <v>19.857000765088923</v>
      </c>
      <c r="J8" s="12">
        <v>1.60727577099476</v>
      </c>
      <c r="K8">
        <f t="shared" si="1"/>
        <v>0.25247192302180999</v>
      </c>
    </row>
    <row r="9" spans="1:12" ht="18">
      <c r="A9">
        <v>8</v>
      </c>
      <c r="B9">
        <v>8</v>
      </c>
      <c r="C9" s="12" t="s">
        <v>88</v>
      </c>
      <c r="D9" s="10" t="s">
        <v>87</v>
      </c>
      <c r="E9" s="12">
        <v>9.9072611179999992</v>
      </c>
      <c r="F9" s="5">
        <v>9.9322064977795996</v>
      </c>
      <c r="G9" s="8">
        <f t="shared" si="0"/>
        <v>0.25115647550397896</v>
      </c>
      <c r="H9" s="8">
        <f xml:space="preserve"> Week4!G9 - Week5!G9</f>
        <v>-0.17825199871092789</v>
      </c>
      <c r="J9" s="12">
        <v>10.097162529346001</v>
      </c>
      <c r="K9">
        <f t="shared" si="1"/>
        <v>-0.16495603156640115</v>
      </c>
    </row>
    <row r="12" spans="1:12">
      <c r="A12" t="s">
        <v>89</v>
      </c>
    </row>
    <row r="13" spans="1:12">
      <c r="A13" t="s">
        <v>38</v>
      </c>
      <c r="B13" t="s">
        <v>0</v>
      </c>
      <c r="C13" t="s">
        <v>39</v>
      </c>
      <c r="D13" t="s">
        <v>40</v>
      </c>
      <c r="E13" s="2" t="s">
        <v>15</v>
      </c>
      <c r="F13" s="2" t="s">
        <v>16</v>
      </c>
      <c r="G13" s="6" t="s">
        <v>18</v>
      </c>
      <c r="H13" s="6" t="s">
        <v>43</v>
      </c>
      <c r="I13" s="2" t="s">
        <v>14</v>
      </c>
      <c r="J13" s="2" t="s">
        <v>57</v>
      </c>
    </row>
    <row r="14" spans="1:12" ht="18">
      <c r="A14">
        <v>1</v>
      </c>
      <c r="B14">
        <v>1</v>
      </c>
      <c r="C14" s="12" t="s">
        <v>90</v>
      </c>
      <c r="D14" s="10" t="s">
        <v>98</v>
      </c>
      <c r="E14" s="11">
        <v>7.7108751145028402E-16</v>
      </c>
      <c r="F14" s="4"/>
      <c r="G14" s="8">
        <f>(ABS(E14 -F14)/MAX(ABS(E14),ABS(F14)) )* 100</f>
        <v>100</v>
      </c>
      <c r="H14" s="8">
        <f xml:space="preserve"> Week3!G14 - Week5!G14</f>
        <v>-100</v>
      </c>
      <c r="J14" s="12">
        <v>-3.0089761721959998E-4</v>
      </c>
      <c r="L14" t="s">
        <v>96</v>
      </c>
    </row>
    <row r="15" spans="1:12" ht="18">
      <c r="A15">
        <v>2</v>
      </c>
      <c r="B15">
        <v>2</v>
      </c>
      <c r="C15" s="12" t="s">
        <v>91</v>
      </c>
      <c r="D15" s="10" t="s">
        <v>98</v>
      </c>
      <c r="E15" s="12">
        <v>0.61120521576144304</v>
      </c>
      <c r="F15" s="5"/>
      <c r="G15" s="8">
        <f t="shared" ref="G15:G21" si="2">(ABS(E15 -F15)/MAX(ABS(E15),ABS(F15)) )* 100</f>
        <v>100</v>
      </c>
      <c r="H15" s="8">
        <f xml:space="preserve"> Week3!G15 - Week5!G15</f>
        <v>-100</v>
      </c>
      <c r="J15" s="12">
        <v>0.53632978518633201</v>
      </c>
      <c r="L15" t="s">
        <v>96</v>
      </c>
    </row>
    <row r="16" spans="1:12" ht="18">
      <c r="A16">
        <v>3</v>
      </c>
      <c r="B16">
        <v>3</v>
      </c>
      <c r="C16" s="12" t="s">
        <v>92</v>
      </c>
      <c r="D16" s="10" t="s">
        <v>98</v>
      </c>
      <c r="E16" s="12">
        <v>-7.1645825427363698E-3</v>
      </c>
      <c r="F16" s="5"/>
      <c r="G16" s="8">
        <f t="shared" si="2"/>
        <v>100</v>
      </c>
      <c r="H16" s="8">
        <f xml:space="preserve"> Week3!G16 - Week5!G16</f>
        <v>-100</v>
      </c>
      <c r="J16" s="12">
        <v>-9.8524768373733695E-2</v>
      </c>
      <c r="L16" t="s">
        <v>96</v>
      </c>
    </row>
    <row r="17" spans="1:12" ht="18">
      <c r="A17">
        <v>4</v>
      </c>
      <c r="B17">
        <v>4</v>
      </c>
      <c r="C17" s="12" t="s">
        <v>93</v>
      </c>
      <c r="D17" s="10" t="s">
        <v>98</v>
      </c>
      <c r="E17" s="12">
        <v>-0.28196633900000001</v>
      </c>
      <c r="F17" s="5"/>
      <c r="G17" s="8">
        <f t="shared" si="2"/>
        <v>100</v>
      </c>
      <c r="H17" s="8">
        <f xml:space="preserve"> Week3!G17 - Week5!G17</f>
        <v>-100</v>
      </c>
      <c r="J17" s="12">
        <v>-2.6775999454187599E-2</v>
      </c>
      <c r="L17" t="s">
        <v>95</v>
      </c>
    </row>
    <row r="18" spans="1:12" ht="18">
      <c r="A18">
        <v>5</v>
      </c>
      <c r="B18">
        <v>5</v>
      </c>
      <c r="C18" s="12" t="s">
        <v>97</v>
      </c>
      <c r="D18" s="10" t="s">
        <v>98</v>
      </c>
      <c r="E18" s="12">
        <v>2763.1361350550201</v>
      </c>
      <c r="F18" s="5"/>
      <c r="G18" s="8">
        <f t="shared" si="2"/>
        <v>100</v>
      </c>
      <c r="H18" s="8">
        <f xml:space="preserve"> Week3!G18 - Week5!G18</f>
        <v>-100</v>
      </c>
      <c r="J18" s="12">
        <v>2749.3105785207699</v>
      </c>
      <c r="L18" t="s">
        <v>95</v>
      </c>
    </row>
    <row r="19" spans="1:12" ht="18">
      <c r="A19">
        <v>6</v>
      </c>
      <c r="B19">
        <v>6</v>
      </c>
      <c r="C19" s="12" t="s">
        <v>99</v>
      </c>
      <c r="D19" s="10" t="s">
        <v>98</v>
      </c>
      <c r="E19" s="12">
        <v>-0.12430862230397099</v>
      </c>
      <c r="F19" s="5"/>
      <c r="G19" s="8">
        <f t="shared" si="2"/>
        <v>100</v>
      </c>
      <c r="H19" s="8">
        <f xml:space="preserve"> Week3!G19 - Week5!G19</f>
        <v>-100</v>
      </c>
      <c r="J19" s="12">
        <v>-0.26032639590456003</v>
      </c>
    </row>
    <row r="20" spans="1:12" ht="18">
      <c r="A20">
        <v>7</v>
      </c>
      <c r="B20">
        <v>7</v>
      </c>
      <c r="C20" s="12" t="s">
        <v>100</v>
      </c>
      <c r="D20" s="10" t="s">
        <v>98</v>
      </c>
      <c r="E20" s="12">
        <v>1.51524322953832</v>
      </c>
      <c r="F20" s="5"/>
      <c r="G20" s="8">
        <f t="shared" si="2"/>
        <v>100</v>
      </c>
      <c r="H20" s="8">
        <f xml:space="preserve"> Week3!G20 - Week5!G20</f>
        <v>-100</v>
      </c>
      <c r="J20" s="12">
        <v>1.34354021866531</v>
      </c>
    </row>
    <row r="21" spans="1:12" ht="18">
      <c r="A21">
        <v>8</v>
      </c>
      <c r="B21">
        <v>8</v>
      </c>
      <c r="C21" s="12" t="s">
        <v>101</v>
      </c>
      <c r="D21" s="10" t="s">
        <v>98</v>
      </c>
      <c r="E21" s="12">
        <v>9.9072611179999992</v>
      </c>
      <c r="F21" s="5"/>
      <c r="G21" s="8">
        <f t="shared" si="2"/>
        <v>100</v>
      </c>
      <c r="H21" s="8">
        <f xml:space="preserve"> Week3!G21 - Week5!G21</f>
        <v>-100</v>
      </c>
      <c r="J21" s="12">
        <v>9.6219979540703697</v>
      </c>
    </row>
    <row r="25" spans="1:12">
      <c r="A25" t="s">
        <v>79</v>
      </c>
    </row>
    <row r="27" spans="1:12">
      <c r="A27" t="s">
        <v>38</v>
      </c>
      <c r="B27" t="s">
        <v>0</v>
      </c>
      <c r="C27" t="s">
        <v>39</v>
      </c>
      <c r="D27" t="s">
        <v>40</v>
      </c>
      <c r="E27" s="2" t="s">
        <v>15</v>
      </c>
      <c r="F27" s="2" t="s">
        <v>16</v>
      </c>
      <c r="G27" s="6" t="s">
        <v>18</v>
      </c>
      <c r="H27" s="6" t="s">
        <v>43</v>
      </c>
      <c r="I27" s="2" t="s">
        <v>14</v>
      </c>
      <c r="J27" s="2" t="s">
        <v>57</v>
      </c>
      <c r="L27" t="s">
        <v>94</v>
      </c>
    </row>
    <row r="28" spans="1:12" ht="18">
      <c r="A28">
        <v>1</v>
      </c>
      <c r="B28">
        <v>1</v>
      </c>
      <c r="C28" s="12" t="s">
        <v>80</v>
      </c>
      <c r="D28" s="10" t="s">
        <v>87</v>
      </c>
      <c r="E28" s="11">
        <v>7.7108751145028402E-16</v>
      </c>
      <c r="F28" s="4"/>
      <c r="G28" s="8">
        <f>(ABS(E28 -F28)/MAX(ABS(E28),ABS(F28)) )* 100</f>
        <v>100</v>
      </c>
      <c r="H28" s="8">
        <f xml:space="preserve"> Week3!G2 - Week5!G28</f>
        <v>2.0605739337042905E-11</v>
      </c>
      <c r="J28" s="12">
        <v>-1.8030313221813401E-3</v>
      </c>
      <c r="L28" t="s">
        <v>95</v>
      </c>
    </row>
    <row r="29" spans="1:12" ht="18">
      <c r="A29">
        <v>2</v>
      </c>
      <c r="B29">
        <v>2</v>
      </c>
      <c r="C29" s="12" t="s">
        <v>81</v>
      </c>
      <c r="D29" s="10" t="s">
        <v>87</v>
      </c>
      <c r="E29" s="12">
        <v>0.61120521576144304</v>
      </c>
      <c r="F29" s="5"/>
      <c r="G29" s="8">
        <f t="shared" ref="G29:G35" si="3">(ABS(E29 -F29)/MAX(ABS(E29),ABS(F29)) )* 100</f>
        <v>100</v>
      </c>
      <c r="H29" s="8">
        <f xml:space="preserve"> Week3!G3 - Week5!G29</f>
        <v>-67.801198873646968</v>
      </c>
      <c r="J29" s="12">
        <v>0.68333209087795699</v>
      </c>
      <c r="L29" t="s">
        <v>95</v>
      </c>
    </row>
    <row r="30" spans="1:12" ht="18">
      <c r="A30">
        <v>3</v>
      </c>
      <c r="B30">
        <v>3</v>
      </c>
      <c r="C30" s="12" t="s">
        <v>82</v>
      </c>
      <c r="D30" s="10" t="s">
        <v>87</v>
      </c>
      <c r="E30" s="12">
        <v>-7.1645825427363698E-3</v>
      </c>
      <c r="F30" s="5"/>
      <c r="G30" s="8">
        <f t="shared" si="3"/>
        <v>100</v>
      </c>
      <c r="H30" s="8">
        <f xml:space="preserve"> Week3!G4 - Week5!G30</f>
        <v>-15.003236229389842</v>
      </c>
      <c r="J30" s="12">
        <v>-9.8524768373733695E-2</v>
      </c>
      <c r="L30" t="s">
        <v>95</v>
      </c>
    </row>
    <row r="31" spans="1:12" ht="18">
      <c r="A31">
        <v>4</v>
      </c>
      <c r="B31">
        <v>4</v>
      </c>
      <c r="C31" s="12" t="s">
        <v>83</v>
      </c>
      <c r="D31" s="10" t="s">
        <v>87</v>
      </c>
      <c r="E31" s="12">
        <v>-0.28196633900000001</v>
      </c>
      <c r="F31" s="5"/>
      <c r="G31" s="8">
        <f t="shared" si="3"/>
        <v>100</v>
      </c>
      <c r="H31" s="8">
        <f xml:space="preserve"> Week3!G5 - Week5!G31</f>
        <v>-56.356892788140591</v>
      </c>
      <c r="J31" s="12">
        <v>-0.83088497141966</v>
      </c>
      <c r="L31" t="s">
        <v>96</v>
      </c>
    </row>
    <row r="32" spans="1:12" ht="18">
      <c r="A32">
        <v>5</v>
      </c>
      <c r="B32">
        <v>5</v>
      </c>
      <c r="C32" s="12" t="s">
        <v>84</v>
      </c>
      <c r="D32" s="10" t="s">
        <v>87</v>
      </c>
      <c r="E32" s="12">
        <v>2763.1361350550201</v>
      </c>
      <c r="F32" s="5"/>
      <c r="G32" s="8">
        <f t="shared" si="3"/>
        <v>100</v>
      </c>
      <c r="H32" s="8">
        <f xml:space="preserve"> Week3!G6 - Week5!G32</f>
        <v>-44.20956933281812</v>
      </c>
      <c r="J32" s="12">
        <v>144.11685025424401</v>
      </c>
    </row>
    <row r="33" spans="1:10" ht="18">
      <c r="A33">
        <v>6</v>
      </c>
      <c r="B33">
        <v>6</v>
      </c>
      <c r="C33" s="12" t="s">
        <v>85</v>
      </c>
      <c r="D33" s="10" t="s">
        <v>87</v>
      </c>
      <c r="E33" s="12">
        <v>-0.12430862230397099</v>
      </c>
      <c r="F33" s="5"/>
      <c r="G33" s="8">
        <f t="shared" si="3"/>
        <v>100</v>
      </c>
      <c r="H33" s="8">
        <f xml:space="preserve"> Week3!G7 - Week5!G33</f>
        <v>-38.753477525597134</v>
      </c>
      <c r="J33" s="12">
        <v>-0.22304319416696899</v>
      </c>
    </row>
    <row r="34" spans="1:10" ht="18">
      <c r="A34">
        <v>7</v>
      </c>
      <c r="B34">
        <v>7</v>
      </c>
      <c r="C34" s="12" t="s">
        <v>86</v>
      </c>
      <c r="D34" s="10" t="s">
        <v>87</v>
      </c>
      <c r="E34" s="12">
        <v>1.51524322953832</v>
      </c>
      <c r="F34" s="5"/>
      <c r="G34" s="8">
        <f t="shared" si="3"/>
        <v>100</v>
      </c>
      <c r="H34" s="8">
        <f xml:space="preserve"> Week3!G8 - Week5!G34</f>
        <v>-70.691643968564648</v>
      </c>
      <c r="J34" s="12">
        <v>1.60727577099476</v>
      </c>
    </row>
    <row r="35" spans="1:10" ht="18">
      <c r="A35">
        <v>8</v>
      </c>
      <c r="B35">
        <v>8</v>
      </c>
      <c r="C35" s="12" t="s">
        <v>88</v>
      </c>
      <c r="D35" s="10" t="s">
        <v>87</v>
      </c>
      <c r="E35" s="12">
        <v>9.9072611179999992</v>
      </c>
      <c r="F35" s="5"/>
      <c r="G35" s="8">
        <f t="shared" si="3"/>
        <v>100</v>
      </c>
      <c r="H35" s="8">
        <f xml:space="preserve"> Week3!G9 - Week5!G35</f>
        <v>-97.559723769512345</v>
      </c>
      <c r="J35" s="12">
        <v>10.097162529346001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FCE3-7C45-FE4A-B4D9-58BBD0759169}">
  <dimension ref="A1:L35"/>
  <sheetViews>
    <sheetView workbookViewId="0">
      <selection activeCell="D9" sqref="D9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24.8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  <col min="10" max="10" width="17.83203125" bestFit="1" customWidth="1"/>
  </cols>
  <sheetData>
    <row r="1" spans="1:12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  <c r="J1" s="2" t="s">
        <v>57</v>
      </c>
    </row>
    <row r="2" spans="1:12" ht="51">
      <c r="A2">
        <v>1</v>
      </c>
      <c r="B2">
        <v>1</v>
      </c>
      <c r="C2" s="12" t="s">
        <v>106</v>
      </c>
      <c r="D2" s="13" t="s">
        <v>103</v>
      </c>
      <c r="E2" s="11">
        <v>7.7108751145028402E-16</v>
      </c>
      <c r="F2" s="4">
        <v>-2.4207951479406601E-51</v>
      </c>
      <c r="G2" s="8">
        <f>(ABS(E2 -F2)/MAX(ABS(E2),ABS(F2)) )* 100</f>
        <v>100</v>
      </c>
      <c r="H2" s="8">
        <f xml:space="preserve"> Week4!G2 - Week6!G2</f>
        <v>0</v>
      </c>
      <c r="J2" s="12"/>
      <c r="K2">
        <f>ABS(F2) - ABS(J2)</f>
        <v>2.4207951479406601E-51</v>
      </c>
    </row>
    <row r="3" spans="1:12" ht="18">
      <c r="A3">
        <v>2</v>
      </c>
      <c r="B3">
        <v>2</v>
      </c>
      <c r="C3" s="12" t="s">
        <v>108</v>
      </c>
      <c r="D3" s="10" t="s">
        <v>105</v>
      </c>
      <c r="E3" s="12">
        <v>0.61120521576144304</v>
      </c>
      <c r="F3" s="5">
        <v>0.56924086824543896</v>
      </c>
      <c r="G3" s="8">
        <f t="shared" ref="G3:G9" si="0">(ABS(E3 -F3)/MAX(ABS(E3),ABS(F3)) )* 100</f>
        <v>6.8658359637400439</v>
      </c>
      <c r="H3" s="8">
        <f xml:space="preserve"> Week4!G3 - Week6!G3</f>
        <v>10.132049141477985</v>
      </c>
      <c r="J3" s="12"/>
      <c r="K3">
        <f t="shared" ref="K3:K9" si="1">ABS(F3) - ABS(J3)</f>
        <v>0.56924086824543896</v>
      </c>
    </row>
    <row r="4" spans="1:12" ht="18">
      <c r="A4">
        <v>3</v>
      </c>
      <c r="B4">
        <v>3</v>
      </c>
      <c r="C4" s="12" t="s">
        <v>110</v>
      </c>
      <c r="D4" s="10" t="s">
        <v>105</v>
      </c>
      <c r="E4" s="12">
        <v>-7.1645825427363698E-3</v>
      </c>
      <c r="F4" s="5">
        <v>-4.4074741745635797E-2</v>
      </c>
      <c r="G4" s="8">
        <f t="shared" si="0"/>
        <v>83.744470735450662</v>
      </c>
      <c r="H4" s="8">
        <f xml:space="preserve"> Week4!G4 - Week6!G4</f>
        <v>-27.419793167162524</v>
      </c>
      <c r="J4" s="12"/>
      <c r="K4">
        <f t="shared" si="1"/>
        <v>4.4074741745635797E-2</v>
      </c>
    </row>
    <row r="5" spans="1:12" ht="18">
      <c r="A5">
        <v>4</v>
      </c>
      <c r="B5">
        <v>4</v>
      </c>
      <c r="C5" s="12" t="s">
        <v>123</v>
      </c>
      <c r="D5" s="10" t="s">
        <v>105</v>
      </c>
      <c r="E5" s="12">
        <v>-0.28196633900000001</v>
      </c>
      <c r="F5" s="5">
        <v>-1.2401877238019301</v>
      </c>
      <c r="G5" s="8">
        <f t="shared" si="0"/>
        <v>77.264221086175439</v>
      </c>
      <c r="H5" s="8">
        <f xml:space="preserve"> Week4!G5 - Week6!G5</f>
        <v>2.5778850678794498</v>
      </c>
      <c r="J5" s="12"/>
      <c r="K5">
        <f t="shared" si="1"/>
        <v>1.2401877238019301</v>
      </c>
    </row>
    <row r="6" spans="1:12" ht="18">
      <c r="A6">
        <v>5</v>
      </c>
      <c r="B6">
        <v>5</v>
      </c>
      <c r="C6" s="12" t="s">
        <v>115</v>
      </c>
      <c r="D6" s="10" t="s">
        <v>122</v>
      </c>
      <c r="E6" s="12">
        <v>4021.5011695428002</v>
      </c>
      <c r="F6" s="5">
        <v>1938.943267221</v>
      </c>
      <c r="G6" s="8">
        <f t="shared" si="0"/>
        <v>51.785584897854541</v>
      </c>
      <c r="H6" s="8">
        <f xml:space="preserve"> Week4!G6 - Week6!G6</f>
        <v>-13.28966535388826</v>
      </c>
      <c r="J6" s="12"/>
      <c r="K6">
        <f t="shared" si="1"/>
        <v>1938.943267221</v>
      </c>
    </row>
    <row r="7" spans="1:12" ht="18">
      <c r="A7">
        <v>6</v>
      </c>
      <c r="B7">
        <v>6</v>
      </c>
      <c r="C7" s="12" t="s">
        <v>117</v>
      </c>
      <c r="D7" s="10" t="s">
        <v>122</v>
      </c>
      <c r="E7" s="12">
        <v>-0.12430862230397099</v>
      </c>
      <c r="F7" s="5">
        <v>-0.20723711476707399</v>
      </c>
      <c r="G7" s="8">
        <f t="shared" si="0"/>
        <v>40.016235777221283</v>
      </c>
      <c r="H7" s="8">
        <f xml:space="preserve"> Week4!G7 - Week6!G7</f>
        <v>21.713478550660838</v>
      </c>
      <c r="J7" s="12"/>
      <c r="K7">
        <f t="shared" si="1"/>
        <v>0.20723711476707399</v>
      </c>
    </row>
    <row r="8" spans="1:12" ht="18">
      <c r="A8">
        <v>7</v>
      </c>
      <c r="B8">
        <v>7</v>
      </c>
      <c r="C8" s="12" t="s">
        <v>119</v>
      </c>
      <c r="D8" s="10" t="s">
        <v>122</v>
      </c>
      <c r="E8" s="12">
        <v>1.85974769401657</v>
      </c>
      <c r="F8" s="5">
        <v>1.88380795677045</v>
      </c>
      <c r="G8" s="8">
        <f t="shared" si="0"/>
        <v>1.2772142015541876</v>
      </c>
      <c r="H8" s="8">
        <f xml:space="preserve"> Week4!G8 - Week6!G8</f>
        <v>37.104044751171479</v>
      </c>
      <c r="J8" s="12"/>
      <c r="K8">
        <f t="shared" si="1"/>
        <v>1.88380795677045</v>
      </c>
    </row>
    <row r="9" spans="1:12" ht="18">
      <c r="A9">
        <v>8</v>
      </c>
      <c r="B9">
        <v>8</v>
      </c>
      <c r="C9" s="12" t="s">
        <v>124</v>
      </c>
      <c r="D9" s="10" t="s">
        <v>122</v>
      </c>
      <c r="E9" s="12">
        <v>9.9322064977795996</v>
      </c>
      <c r="F9" s="5">
        <v>9.9707717627203998</v>
      </c>
      <c r="G9" s="8">
        <f t="shared" si="0"/>
        <v>0.38678314837163719</v>
      </c>
      <c r="H9" s="8">
        <f xml:space="preserve"> Week4!G9 - Week6!G9</f>
        <v>-0.31387867157858612</v>
      </c>
      <c r="J9" s="12"/>
      <c r="K9">
        <f t="shared" si="1"/>
        <v>9.9707717627203998</v>
      </c>
    </row>
    <row r="12" spans="1:12">
      <c r="A12" t="s">
        <v>89</v>
      </c>
    </row>
    <row r="13" spans="1:12">
      <c r="A13" t="s">
        <v>38</v>
      </c>
      <c r="B13" t="s">
        <v>0</v>
      </c>
      <c r="C13" t="s">
        <v>39</v>
      </c>
      <c r="D13" t="s">
        <v>40</v>
      </c>
      <c r="E13" s="2" t="s">
        <v>15</v>
      </c>
      <c r="F13" s="2" t="s">
        <v>16</v>
      </c>
      <c r="G13" s="6" t="s">
        <v>18</v>
      </c>
      <c r="H13" s="6" t="s">
        <v>43</v>
      </c>
      <c r="I13" s="2" t="s">
        <v>14</v>
      </c>
      <c r="J13" s="2" t="s">
        <v>57</v>
      </c>
    </row>
    <row r="14" spans="1:12" ht="51">
      <c r="A14">
        <v>1</v>
      </c>
      <c r="B14">
        <v>1</v>
      </c>
      <c r="C14" s="12" t="s">
        <v>106</v>
      </c>
      <c r="D14" s="13" t="s">
        <v>103</v>
      </c>
      <c r="E14" s="11">
        <v>7.7108751145028402E-16</v>
      </c>
      <c r="F14" s="4"/>
      <c r="G14" s="8">
        <f>(ABS(E14 -F14)/MAX(ABS(E14),ABS(F14)) )* 100</f>
        <v>100</v>
      </c>
      <c r="H14" s="8">
        <f xml:space="preserve"> Week3!G14 - Week6!G14</f>
        <v>-100</v>
      </c>
      <c r="J14" s="12">
        <v>-2.1161475050144601E-4</v>
      </c>
      <c r="L14" t="s">
        <v>96</v>
      </c>
    </row>
    <row r="15" spans="1:12" ht="18">
      <c r="A15">
        <v>2</v>
      </c>
      <c r="B15">
        <v>2</v>
      </c>
      <c r="C15" s="12" t="s">
        <v>108</v>
      </c>
      <c r="D15" s="10" t="s">
        <v>105</v>
      </c>
      <c r="E15" s="12">
        <v>0.61120521576144304</v>
      </c>
      <c r="F15" s="5"/>
      <c r="G15" s="8">
        <f t="shared" ref="G15:G21" si="2">(ABS(E15 -F15)/MAX(ABS(E15),ABS(F15)) )* 100</f>
        <v>100</v>
      </c>
      <c r="H15" s="8">
        <f xml:space="preserve"> Week3!G15 - Week6!G15</f>
        <v>-100</v>
      </c>
      <c r="J15" s="12">
        <v>0.404495326244732</v>
      </c>
      <c r="L15" t="s">
        <v>96</v>
      </c>
    </row>
    <row r="16" spans="1:12" ht="18">
      <c r="A16">
        <v>3</v>
      </c>
      <c r="B16">
        <v>3</v>
      </c>
      <c r="C16" s="12" t="s">
        <v>110</v>
      </c>
      <c r="D16" s="10" t="s">
        <v>98</v>
      </c>
      <c r="E16" s="12">
        <v>-7.1645825427363698E-3</v>
      </c>
      <c r="F16" s="5"/>
      <c r="G16" s="8">
        <f t="shared" si="2"/>
        <v>100</v>
      </c>
      <c r="H16" s="8">
        <f xml:space="preserve"> Week3!G16 - Week6!G16</f>
        <v>-100</v>
      </c>
      <c r="J16" s="12">
        <v>-5.0968886234727701E-2</v>
      </c>
      <c r="L16" t="s">
        <v>96</v>
      </c>
    </row>
    <row r="17" spans="1:12" ht="18">
      <c r="A17">
        <v>4</v>
      </c>
      <c r="B17">
        <v>4</v>
      </c>
      <c r="C17" s="12" t="s">
        <v>112</v>
      </c>
      <c r="D17" s="10" t="s">
        <v>98</v>
      </c>
      <c r="E17" s="12">
        <v>-0.28196633900000001</v>
      </c>
      <c r="F17" s="5"/>
      <c r="G17" s="8">
        <f t="shared" si="2"/>
        <v>100</v>
      </c>
      <c r="H17" s="8">
        <f xml:space="preserve"> Week3!G17 - Week6!G17</f>
        <v>-100</v>
      </c>
      <c r="J17" s="12">
        <v>-10.7620861794012</v>
      </c>
      <c r="L17" t="s">
        <v>95</v>
      </c>
    </row>
    <row r="18" spans="1:12" ht="18">
      <c r="A18">
        <v>5</v>
      </c>
      <c r="B18">
        <v>5</v>
      </c>
      <c r="C18" s="12" t="s">
        <v>114</v>
      </c>
      <c r="D18" s="10" t="s">
        <v>98</v>
      </c>
      <c r="E18" s="12">
        <v>4021.5011695428002</v>
      </c>
      <c r="F18" s="5"/>
      <c r="G18" s="8">
        <f t="shared" si="2"/>
        <v>100</v>
      </c>
      <c r="H18" s="8">
        <f xml:space="preserve"> Week3!G18 - Week6!G18</f>
        <v>-100</v>
      </c>
      <c r="J18" s="12">
        <v>2888.3754497268501</v>
      </c>
      <c r="L18" t="s">
        <v>95</v>
      </c>
    </row>
    <row r="19" spans="1:12" ht="18">
      <c r="A19">
        <v>6</v>
      </c>
      <c r="B19">
        <v>6</v>
      </c>
      <c r="C19" s="12" t="s">
        <v>116</v>
      </c>
      <c r="D19" s="10" t="s">
        <v>98</v>
      </c>
      <c r="E19" s="12">
        <v>-0.12430862230397099</v>
      </c>
      <c r="F19" s="5"/>
      <c r="G19" s="8">
        <f t="shared" si="2"/>
        <v>100</v>
      </c>
      <c r="H19" s="8">
        <f xml:space="preserve"> Week3!G19 - Week6!G19</f>
        <v>-100</v>
      </c>
      <c r="J19" s="12">
        <v>-0.51958075911188295</v>
      </c>
    </row>
    <row r="20" spans="1:12" ht="18">
      <c r="A20">
        <v>7</v>
      </c>
      <c r="B20">
        <v>7</v>
      </c>
      <c r="C20" s="12" t="s">
        <v>118</v>
      </c>
      <c r="D20" s="10" t="s">
        <v>98</v>
      </c>
      <c r="E20" s="12">
        <v>1.85974769401657</v>
      </c>
      <c r="F20" s="5"/>
      <c r="G20" s="8">
        <f t="shared" si="2"/>
        <v>100</v>
      </c>
      <c r="H20" s="8">
        <f xml:space="preserve"> Week3!G20 - Week6!G20</f>
        <v>-100</v>
      </c>
      <c r="J20" s="12">
        <v>1.49086437511737</v>
      </c>
    </row>
    <row r="21" spans="1:12" ht="18">
      <c r="A21">
        <v>8</v>
      </c>
      <c r="B21">
        <v>8</v>
      </c>
      <c r="C21" s="12" t="s">
        <v>120</v>
      </c>
      <c r="D21" s="10" t="s">
        <v>98</v>
      </c>
      <c r="E21" s="12">
        <v>9.9322064977795996</v>
      </c>
      <c r="F21" s="5"/>
      <c r="G21" s="8">
        <f t="shared" si="2"/>
        <v>100</v>
      </c>
      <c r="H21" s="8">
        <f xml:space="preserve"> Week3!G21 - Week6!G21</f>
        <v>-100</v>
      </c>
      <c r="J21" s="12"/>
    </row>
    <row r="25" spans="1:12">
      <c r="A25" t="s">
        <v>79</v>
      </c>
    </row>
    <row r="27" spans="1:12">
      <c r="A27" t="s">
        <v>38</v>
      </c>
      <c r="B27" t="s">
        <v>0</v>
      </c>
      <c r="C27" t="s">
        <v>39</v>
      </c>
      <c r="D27" t="s">
        <v>40</v>
      </c>
      <c r="E27" s="2" t="s">
        <v>15</v>
      </c>
      <c r="F27" s="2" t="s">
        <v>16</v>
      </c>
      <c r="G27" s="6" t="s">
        <v>18</v>
      </c>
      <c r="H27" s="6" t="s">
        <v>43</v>
      </c>
      <c r="I27" s="2" t="s">
        <v>14</v>
      </c>
      <c r="J27" s="2" t="s">
        <v>57</v>
      </c>
      <c r="L27" t="s">
        <v>94</v>
      </c>
    </row>
    <row r="28" spans="1:12" ht="18">
      <c r="A28">
        <v>1</v>
      </c>
      <c r="B28">
        <v>1</v>
      </c>
      <c r="C28" s="12" t="s">
        <v>107</v>
      </c>
      <c r="D28" s="10" t="s">
        <v>87</v>
      </c>
      <c r="E28" s="11">
        <v>7.7108751145028402E-16</v>
      </c>
      <c r="F28" s="4"/>
      <c r="G28" s="8">
        <f>(ABS(E28 -F28)/MAX(ABS(E28),ABS(F28)) )* 100</f>
        <v>100</v>
      </c>
      <c r="H28" s="8">
        <f xml:space="preserve"> Week3!G2 - Week6!G28</f>
        <v>2.0605739337042905E-11</v>
      </c>
      <c r="J28" s="12">
        <v>-1.8030313221813401E-3</v>
      </c>
      <c r="L28" t="s">
        <v>95</v>
      </c>
    </row>
    <row r="29" spans="1:12" ht="18">
      <c r="A29">
        <v>2</v>
      </c>
      <c r="B29">
        <v>2</v>
      </c>
      <c r="C29" s="12" t="s">
        <v>109</v>
      </c>
      <c r="D29" s="10" t="s">
        <v>87</v>
      </c>
      <c r="E29" s="12">
        <v>0.61120521576144304</v>
      </c>
      <c r="F29" s="5"/>
      <c r="G29" s="8">
        <f t="shared" ref="G29:G35" si="3">(ABS(E29 -F29)/MAX(ABS(E29),ABS(F29)) )* 100</f>
        <v>100</v>
      </c>
      <c r="H29" s="8">
        <f xml:space="preserve"> Week3!G3 - Week6!G29</f>
        <v>-67.801198873646968</v>
      </c>
      <c r="J29" s="12">
        <v>0.57025108339151198</v>
      </c>
      <c r="L29" t="s">
        <v>95</v>
      </c>
    </row>
    <row r="30" spans="1:12" ht="18">
      <c r="A30">
        <v>3</v>
      </c>
      <c r="B30">
        <v>3</v>
      </c>
      <c r="C30" s="12" t="s">
        <v>111</v>
      </c>
      <c r="D30" s="10" t="s">
        <v>87</v>
      </c>
      <c r="E30" s="12">
        <v>-7.1645825427363698E-3</v>
      </c>
      <c r="F30" s="5"/>
      <c r="G30" s="8">
        <f t="shared" si="3"/>
        <v>100</v>
      </c>
      <c r="H30" s="8">
        <f xml:space="preserve"> Week3!G4 - Week6!G30</f>
        <v>-15.003236229389842</v>
      </c>
      <c r="J30" s="12">
        <v>-9.9159375360608495E-2</v>
      </c>
      <c r="L30" t="s">
        <v>95</v>
      </c>
    </row>
    <row r="31" spans="1:12" ht="18">
      <c r="A31">
        <v>4</v>
      </c>
      <c r="B31">
        <v>4</v>
      </c>
      <c r="C31" s="12" t="s">
        <v>113</v>
      </c>
      <c r="D31" s="10" t="s">
        <v>87</v>
      </c>
      <c r="E31" s="12">
        <v>-0.28196633900000001</v>
      </c>
      <c r="F31" s="5"/>
      <c r="G31" s="8">
        <f t="shared" si="3"/>
        <v>100</v>
      </c>
      <c r="H31" s="8">
        <f xml:space="preserve"> Week3!G5 - Week6!G31</f>
        <v>-56.356892788140591</v>
      </c>
      <c r="J31" s="12">
        <v>-0.61452676876525503</v>
      </c>
      <c r="L31" t="s">
        <v>96</v>
      </c>
    </row>
    <row r="32" spans="1:12" ht="18">
      <c r="A32">
        <v>5</v>
      </c>
      <c r="B32">
        <v>5</v>
      </c>
      <c r="C32" s="12" t="s">
        <v>115</v>
      </c>
      <c r="D32" s="10" t="s">
        <v>87</v>
      </c>
      <c r="E32" s="12">
        <v>4021.5011695428002</v>
      </c>
      <c r="F32" s="5"/>
      <c r="G32" s="8">
        <f t="shared" si="3"/>
        <v>100</v>
      </c>
      <c r="H32" s="8">
        <f xml:space="preserve"> Week3!G6 - Week6!G32</f>
        <v>-44.20956933281812</v>
      </c>
      <c r="J32" s="12">
        <v>157.32611553417499</v>
      </c>
    </row>
    <row r="33" spans="1:10" ht="18">
      <c r="A33">
        <v>6</v>
      </c>
      <c r="B33">
        <v>6</v>
      </c>
      <c r="C33" s="12" t="s">
        <v>117</v>
      </c>
      <c r="D33" s="10" t="s">
        <v>87</v>
      </c>
      <c r="E33" s="12">
        <v>-0.12430862230397099</v>
      </c>
      <c r="F33" s="5"/>
      <c r="G33" s="8">
        <f t="shared" si="3"/>
        <v>100</v>
      </c>
      <c r="H33" s="8">
        <f xml:space="preserve"> Week3!G7 - Week6!G33</f>
        <v>-38.753477525597134</v>
      </c>
      <c r="J33" s="12">
        <v>-0.224207237373589</v>
      </c>
    </row>
    <row r="34" spans="1:10" ht="18">
      <c r="A34">
        <v>7</v>
      </c>
      <c r="B34">
        <v>7</v>
      </c>
      <c r="C34" s="12" t="s">
        <v>119</v>
      </c>
      <c r="D34" s="10" t="s">
        <v>87</v>
      </c>
      <c r="E34" s="12">
        <v>1.85974769401657</v>
      </c>
      <c r="F34" s="5"/>
      <c r="G34" s="8">
        <f t="shared" si="3"/>
        <v>100</v>
      </c>
      <c r="H34" s="8">
        <f xml:space="preserve"> Week3!G8 - Week6!G34</f>
        <v>-70.691643968564648</v>
      </c>
      <c r="J34" s="12">
        <v>1.79964628897446</v>
      </c>
    </row>
    <row r="35" spans="1:10" ht="18">
      <c r="A35">
        <v>8</v>
      </c>
      <c r="B35">
        <v>8</v>
      </c>
      <c r="C35" s="12" t="s">
        <v>121</v>
      </c>
      <c r="D35" s="10" t="s">
        <v>87</v>
      </c>
      <c r="E35" s="12">
        <v>9.9322064977795996</v>
      </c>
      <c r="F35" s="5"/>
      <c r="G35" s="8">
        <f t="shared" si="3"/>
        <v>100</v>
      </c>
      <c r="H35" s="8">
        <f xml:space="preserve"> Week3!G9 - Week6!G35</f>
        <v>-97.559723769512345</v>
      </c>
      <c r="J35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2FB8-14CB-9B46-9DAB-27A504804547}">
  <dimension ref="A1:L35"/>
  <sheetViews>
    <sheetView workbookViewId="0">
      <selection activeCell="I18" sqref="I18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24.8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  <col min="10" max="10" width="17.83203125" bestFit="1" customWidth="1"/>
  </cols>
  <sheetData>
    <row r="1" spans="1:11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  <c r="J1" s="2" t="s">
        <v>57</v>
      </c>
    </row>
    <row r="2" spans="1:11" ht="18">
      <c r="A2">
        <v>1</v>
      </c>
      <c r="B2">
        <v>1</v>
      </c>
      <c r="C2" s="12" t="s">
        <v>126</v>
      </c>
      <c r="D2" s="13" t="s">
        <v>127</v>
      </c>
      <c r="E2" s="11">
        <v>7.7108751145028402E-16</v>
      </c>
      <c r="F2" s="3">
        <v>2.45415370407854E-54</v>
      </c>
      <c r="G2" s="8">
        <f>(ABS(E2 -F2)/MAX(ABS(E2),ABS(F2)) )* 100</f>
        <v>100</v>
      </c>
      <c r="H2" s="8">
        <f xml:space="preserve"> Week4!G2 - Week7!G2</f>
        <v>0</v>
      </c>
      <c r="I2" s="3"/>
      <c r="J2" s="12"/>
      <c r="K2">
        <f>ABS(F2) - ABS(J2)</f>
        <v>2.45415370407854E-54</v>
      </c>
    </row>
    <row r="3" spans="1:11" ht="18">
      <c r="A3">
        <v>2</v>
      </c>
      <c r="B3">
        <v>2</v>
      </c>
      <c r="C3" s="12" t="s">
        <v>129</v>
      </c>
      <c r="D3" s="13" t="s">
        <v>130</v>
      </c>
      <c r="E3" s="12">
        <v>0.61120521576144304</v>
      </c>
      <c r="F3" s="5">
        <v>0.19283512655684401</v>
      </c>
      <c r="G3" s="8">
        <f t="shared" ref="G3:G9" si="0">(ABS(E3 -F3)/MAX(ABS(E3),ABS(F3)) )* 100</f>
        <v>68.450019472329132</v>
      </c>
      <c r="H3" s="8">
        <f xml:space="preserve"> Week4!G3 - Week7!G3</f>
        <v>-51.4521343671111</v>
      </c>
      <c r="J3" s="12"/>
      <c r="K3">
        <f t="shared" ref="K3:K9" si="1">ABS(F3) - ABS(J3)</f>
        <v>0.19283512655684401</v>
      </c>
    </row>
    <row r="4" spans="1:11" ht="18">
      <c r="A4">
        <v>3</v>
      </c>
      <c r="B4">
        <v>3</v>
      </c>
      <c r="C4" s="12" t="s">
        <v>132</v>
      </c>
      <c r="D4" s="13" t="s">
        <v>127</v>
      </c>
      <c r="E4" s="12">
        <v>-7.1645825427363698E-3</v>
      </c>
      <c r="F4">
        <v>-3.3040646100640003E-2</v>
      </c>
      <c r="G4" s="8">
        <f t="shared" si="0"/>
        <v>78.315852175186166</v>
      </c>
      <c r="H4" s="8">
        <f xml:space="preserve"> Week4!G4 - Week7!G4</f>
        <v>-21.991174606898028</v>
      </c>
      <c r="J4" s="12"/>
      <c r="K4">
        <f t="shared" si="1"/>
        <v>3.3040646100640003E-2</v>
      </c>
    </row>
    <row r="5" spans="1:11" ht="18">
      <c r="A5">
        <v>4</v>
      </c>
      <c r="B5">
        <v>4</v>
      </c>
      <c r="C5" s="12" t="s">
        <v>134</v>
      </c>
      <c r="D5" s="13" t="s">
        <v>127</v>
      </c>
      <c r="E5" s="12">
        <v>-0.28196633900000001</v>
      </c>
      <c r="F5" s="5">
        <v>0.57749759425457003</v>
      </c>
      <c r="G5" s="8">
        <f t="shared" si="0"/>
        <v>148.82554348368501</v>
      </c>
      <c r="H5" s="8">
        <f xml:space="preserve"> Week4!G5 - Week7!G5</f>
        <v>-68.983437329630121</v>
      </c>
      <c r="J5" s="12"/>
      <c r="K5">
        <f t="shared" si="1"/>
        <v>0.57749759425457003</v>
      </c>
    </row>
    <row r="6" spans="1:11" ht="18">
      <c r="A6">
        <v>5</v>
      </c>
      <c r="B6">
        <v>5</v>
      </c>
      <c r="C6" s="12" t="s">
        <v>136</v>
      </c>
      <c r="D6" s="13" t="s">
        <v>127</v>
      </c>
      <c r="E6" s="12">
        <v>4021.5011695428002</v>
      </c>
      <c r="F6" s="5">
        <v>4310.9805594415402</v>
      </c>
      <c r="G6" s="8">
        <f t="shared" si="0"/>
        <v>6.7149314618166649</v>
      </c>
      <c r="H6" s="8">
        <f xml:space="preserve"> Week4!G6 - Week7!G6</f>
        <v>31.780988082149616</v>
      </c>
      <c r="J6" s="12"/>
      <c r="K6">
        <f t="shared" si="1"/>
        <v>4310.9805594415402</v>
      </c>
    </row>
    <row r="7" spans="1:11" ht="18">
      <c r="A7">
        <v>6</v>
      </c>
      <c r="B7">
        <v>6</v>
      </c>
      <c r="C7" s="12" t="s">
        <v>140</v>
      </c>
      <c r="D7" s="10" t="s">
        <v>146</v>
      </c>
      <c r="E7" s="12">
        <v>-0.12430862230397099</v>
      </c>
      <c r="F7" s="5">
        <v>-0.15947669058205399</v>
      </c>
      <c r="G7" s="8">
        <f t="shared" si="0"/>
        <v>22.052168344933339</v>
      </c>
      <c r="H7" s="8">
        <f xml:space="preserve"> Week4!G7 - Week7!G7</f>
        <v>39.677545982948786</v>
      </c>
      <c r="J7" s="12"/>
      <c r="K7">
        <f t="shared" si="1"/>
        <v>0.15947669058205399</v>
      </c>
    </row>
    <row r="8" spans="1:11" ht="18">
      <c r="A8">
        <v>7</v>
      </c>
      <c r="B8">
        <v>7</v>
      </c>
      <c r="C8" s="12" t="s">
        <v>143</v>
      </c>
      <c r="D8" s="10" t="s">
        <v>142</v>
      </c>
      <c r="E8" s="12">
        <v>1.88380795677045</v>
      </c>
      <c r="F8" s="5">
        <v>1.8684324311018099</v>
      </c>
      <c r="G8" s="8">
        <f t="shared" si="0"/>
        <v>0.81619390200471809</v>
      </c>
      <c r="H8" s="8">
        <f xml:space="preserve"> Week4!G8 - Week7!G8</f>
        <v>37.565065050720946</v>
      </c>
      <c r="J8" s="12"/>
      <c r="K8">
        <f t="shared" si="1"/>
        <v>1.8684324311018099</v>
      </c>
    </row>
    <row r="9" spans="1:11" ht="18">
      <c r="A9">
        <v>8</v>
      </c>
      <c r="B9">
        <v>8</v>
      </c>
      <c r="C9" s="12" t="s">
        <v>145</v>
      </c>
      <c r="D9" s="10" t="s">
        <v>142</v>
      </c>
      <c r="E9" s="12">
        <v>9.9707717627203998</v>
      </c>
      <c r="F9" s="5">
        <v>9.9515462235145993</v>
      </c>
      <c r="G9" s="8">
        <f t="shared" si="0"/>
        <v>0.19281896791262079</v>
      </c>
      <c r="H9" s="8">
        <f xml:space="preserve"> Week4!G9 - Week7!G9</f>
        <v>-0.11991449111956973</v>
      </c>
      <c r="J9" s="12"/>
      <c r="K9">
        <f t="shared" si="1"/>
        <v>9.9515462235145993</v>
      </c>
    </row>
    <row r="12" spans="1:11">
      <c r="A12" t="s">
        <v>89</v>
      </c>
    </row>
    <row r="13" spans="1:11">
      <c r="A13" t="s">
        <v>38</v>
      </c>
      <c r="B13" t="s">
        <v>0</v>
      </c>
      <c r="C13" t="s">
        <v>39</v>
      </c>
      <c r="D13" t="s">
        <v>40</v>
      </c>
      <c r="E13" s="2" t="s">
        <v>15</v>
      </c>
      <c r="F13" s="2" t="s">
        <v>16</v>
      </c>
      <c r="G13" s="6" t="s">
        <v>18</v>
      </c>
      <c r="H13" s="6" t="s">
        <v>43</v>
      </c>
      <c r="I13" s="2" t="s">
        <v>14</v>
      </c>
      <c r="J13" s="2" t="s">
        <v>57</v>
      </c>
    </row>
    <row r="14" spans="1:11" ht="18">
      <c r="A14">
        <v>1</v>
      </c>
      <c r="B14">
        <v>1</v>
      </c>
      <c r="C14" s="12" t="s">
        <v>126</v>
      </c>
      <c r="D14" s="13" t="s">
        <v>127</v>
      </c>
      <c r="E14" s="11">
        <v>7.7108751145028402E-16</v>
      </c>
      <c r="F14" s="3">
        <v>2.45415370407854E-54</v>
      </c>
      <c r="G14" s="8">
        <f>(ABS(E14 -F14)/MAX(ABS(E14),ABS(F14)) )* 100</f>
        <v>100</v>
      </c>
      <c r="H14" s="8">
        <f xml:space="preserve"> Week3!G14 - Week7!G14</f>
        <v>-100</v>
      </c>
      <c r="J14" s="11">
        <v>-7.3352407821837605E-5</v>
      </c>
    </row>
    <row r="15" spans="1:11" ht="18">
      <c r="A15">
        <v>2</v>
      </c>
      <c r="B15">
        <v>2</v>
      </c>
      <c r="C15" s="12" t="s">
        <v>129</v>
      </c>
      <c r="D15" s="13" t="s">
        <v>130</v>
      </c>
      <c r="E15" s="12">
        <v>0.61120521576144304</v>
      </c>
      <c r="F15" s="5">
        <v>0.19283512655684401</v>
      </c>
      <c r="G15" s="8">
        <f t="shared" ref="G15:G21" si="2">(ABS(E15 -F15)/MAX(ABS(E15),ABS(F15)) )* 100</f>
        <v>68.450019472329132</v>
      </c>
      <c r="H15" s="8">
        <f xml:space="preserve"> Week3!G15 - Week7!G15</f>
        <v>-68.450019472329132</v>
      </c>
      <c r="J15" s="12">
        <v>0.36640478504205698</v>
      </c>
    </row>
    <row r="16" spans="1:11" ht="18">
      <c r="A16">
        <v>3</v>
      </c>
      <c r="B16">
        <v>3</v>
      </c>
      <c r="C16" s="12" t="s">
        <v>132</v>
      </c>
      <c r="D16" s="13" t="s">
        <v>127</v>
      </c>
      <c r="E16" s="12">
        <v>-7.1645825427363698E-3</v>
      </c>
      <c r="F16">
        <v>-3.3040646100640003E-2</v>
      </c>
      <c r="G16" s="8">
        <f t="shared" si="2"/>
        <v>78.315852175186166</v>
      </c>
      <c r="H16" s="8">
        <f xml:space="preserve"> Week3!G16 - Week7!G16</f>
        <v>-78.315852175186166</v>
      </c>
      <c r="J16" s="12">
        <v>-2.5414118062859E-3</v>
      </c>
    </row>
    <row r="17" spans="1:12" ht="18">
      <c r="A17">
        <v>4</v>
      </c>
      <c r="B17">
        <v>4</v>
      </c>
      <c r="C17" s="12" t="s">
        <v>134</v>
      </c>
      <c r="D17" s="13" t="s">
        <v>127</v>
      </c>
      <c r="E17" s="12">
        <v>-0.28196633900000001</v>
      </c>
      <c r="F17" s="5">
        <v>0.57749759425457003</v>
      </c>
      <c r="G17" s="8">
        <f t="shared" si="2"/>
        <v>148.82554348368501</v>
      </c>
      <c r="H17" s="8">
        <f xml:space="preserve"> Week3!G17 - Week7!G17</f>
        <v>-148.82554348368501</v>
      </c>
      <c r="J17" s="12">
        <v>0.53789510663172801</v>
      </c>
    </row>
    <row r="18" spans="1:12" ht="18">
      <c r="A18">
        <v>5</v>
      </c>
      <c r="B18">
        <v>5</v>
      </c>
      <c r="C18" s="12" t="s">
        <v>136</v>
      </c>
      <c r="D18" s="13" t="s">
        <v>127</v>
      </c>
      <c r="E18" s="12">
        <v>4021.5011695428002</v>
      </c>
      <c r="F18" s="5">
        <v>4310.9805594415402</v>
      </c>
      <c r="G18" s="8">
        <f t="shared" si="2"/>
        <v>6.7149314618166649</v>
      </c>
      <c r="H18" s="8">
        <f xml:space="preserve"> Week3!G18 - Week7!G18</f>
        <v>-6.7149314618166649</v>
      </c>
      <c r="J18" s="12">
        <v>4154.7492977014199</v>
      </c>
    </row>
    <row r="19" spans="1:12" ht="18">
      <c r="A19">
        <v>6</v>
      </c>
      <c r="B19">
        <v>6</v>
      </c>
      <c r="C19" s="12" t="s">
        <v>139</v>
      </c>
      <c r="D19" s="13" t="s">
        <v>130</v>
      </c>
      <c r="E19" s="12">
        <v>-0.12430862230397099</v>
      </c>
      <c r="F19" s="5">
        <v>-0.15947669058205399</v>
      </c>
      <c r="G19" s="8">
        <f t="shared" si="2"/>
        <v>22.052168344933339</v>
      </c>
      <c r="H19" s="8">
        <f xml:space="preserve"> Week3!G19 - Week7!G19</f>
        <v>-22.052168344933339</v>
      </c>
      <c r="J19" s="12">
        <v>-0.50510722887869497</v>
      </c>
    </row>
    <row r="20" spans="1:12" ht="18">
      <c r="A20">
        <v>7</v>
      </c>
      <c r="B20">
        <v>7</v>
      </c>
      <c r="C20" s="12" t="s">
        <v>141</v>
      </c>
      <c r="D20" s="13" t="s">
        <v>130</v>
      </c>
      <c r="E20" s="12">
        <v>1.88380795677045</v>
      </c>
      <c r="F20" s="5">
        <v>1.8684324311018099</v>
      </c>
      <c r="G20" s="8">
        <f t="shared" si="2"/>
        <v>0.81619390200471809</v>
      </c>
      <c r="H20" s="8">
        <f xml:space="preserve"> Week3!G20 - Week7!G20</f>
        <v>-0.81619390200471809</v>
      </c>
      <c r="J20" s="12">
        <v>1.3954590139716301</v>
      </c>
    </row>
    <row r="21" spans="1:12" ht="18">
      <c r="A21">
        <v>8</v>
      </c>
      <c r="B21">
        <v>8</v>
      </c>
      <c r="C21" s="12" t="s">
        <v>144</v>
      </c>
      <c r="D21" s="10"/>
      <c r="E21" s="12">
        <v>9.9707717627203998</v>
      </c>
      <c r="F21" s="5">
        <v>9.9515462235145993</v>
      </c>
      <c r="G21" s="8">
        <f t="shared" si="2"/>
        <v>0.19281896791262079</v>
      </c>
      <c r="H21" s="8">
        <f xml:space="preserve"> Week3!G21 - Week7!G21</f>
        <v>-0.19281896791262079</v>
      </c>
      <c r="J21" s="12">
        <v>9.3105784918819197</v>
      </c>
    </row>
    <row r="25" spans="1:12">
      <c r="A25" t="s">
        <v>79</v>
      </c>
    </row>
    <row r="27" spans="1:12">
      <c r="A27" t="s">
        <v>38</v>
      </c>
      <c r="B27" t="s">
        <v>0</v>
      </c>
      <c r="C27" t="s">
        <v>39</v>
      </c>
      <c r="D27" t="s">
        <v>40</v>
      </c>
      <c r="E27" s="2" t="s">
        <v>15</v>
      </c>
      <c r="F27" s="2" t="s">
        <v>16</v>
      </c>
      <c r="G27" s="6" t="s">
        <v>18</v>
      </c>
      <c r="H27" s="6" t="s">
        <v>43</v>
      </c>
      <c r="I27" s="2" t="s">
        <v>14</v>
      </c>
      <c r="J27" s="2" t="s">
        <v>57</v>
      </c>
      <c r="L27" t="s">
        <v>94</v>
      </c>
    </row>
    <row r="28" spans="1:12" ht="18">
      <c r="A28">
        <v>1</v>
      </c>
      <c r="B28">
        <v>1</v>
      </c>
      <c r="C28" s="12" t="s">
        <v>128</v>
      </c>
      <c r="D28" s="10" t="s">
        <v>79</v>
      </c>
      <c r="E28" s="11">
        <v>7.7108751145028402E-16</v>
      </c>
      <c r="F28" s="3">
        <v>2.45415370407854E-54</v>
      </c>
      <c r="G28" s="8">
        <f>(ABS(E28 -F28)/MAX(ABS(E28),ABS(F28)) )* 100</f>
        <v>100</v>
      </c>
      <c r="H28" s="8">
        <f xml:space="preserve"> Week3!G2 - Week7!G28</f>
        <v>2.0605739337042905E-11</v>
      </c>
      <c r="J28" s="12">
        <v>-1.8030313221813401E-3</v>
      </c>
    </row>
    <row r="29" spans="1:12" ht="18">
      <c r="A29">
        <v>2</v>
      </c>
      <c r="B29">
        <v>2</v>
      </c>
      <c r="C29" s="12" t="s">
        <v>131</v>
      </c>
      <c r="D29" s="10" t="s">
        <v>79</v>
      </c>
      <c r="E29" s="12">
        <v>0.61120521576144304</v>
      </c>
      <c r="F29" s="5">
        <v>0.19283512655684401</v>
      </c>
      <c r="G29" s="8">
        <f t="shared" ref="G29:G35" si="3">(ABS(E29 -F29)/MAX(ABS(E29),ABS(F29)) )* 100</f>
        <v>68.450019472329132</v>
      </c>
      <c r="H29" s="8">
        <f xml:space="preserve"> Week3!G3 - Week7!G29</f>
        <v>-36.251218345976092</v>
      </c>
      <c r="J29" s="12">
        <v>0.58371094034922</v>
      </c>
    </row>
    <row r="30" spans="1:12" ht="18">
      <c r="A30">
        <v>3</v>
      </c>
      <c r="B30">
        <v>3</v>
      </c>
      <c r="C30" s="12" t="s">
        <v>133</v>
      </c>
      <c r="D30" s="10" t="s">
        <v>79</v>
      </c>
      <c r="E30" s="12">
        <v>-7.1645825427363698E-3</v>
      </c>
      <c r="F30">
        <v>-3.3040646100640003E-2</v>
      </c>
      <c r="G30" s="8">
        <f t="shared" si="3"/>
        <v>78.315852175186166</v>
      </c>
      <c r="H30" s="8">
        <f xml:space="preserve"> Week3!G4 - Week7!G30</f>
        <v>6.6809115954239928</v>
      </c>
      <c r="J30" s="12">
        <v>-0.10020592550034001</v>
      </c>
    </row>
    <row r="31" spans="1:12" ht="18">
      <c r="A31">
        <v>4</v>
      </c>
      <c r="B31">
        <v>4</v>
      </c>
      <c r="C31" s="12" t="s">
        <v>135</v>
      </c>
      <c r="D31" s="10" t="s">
        <v>79</v>
      </c>
      <c r="E31" s="12">
        <v>-0.28196633900000001</v>
      </c>
      <c r="F31" s="5">
        <v>0.57749759425457003</v>
      </c>
      <c r="G31" s="8">
        <f t="shared" si="3"/>
        <v>148.82554348368501</v>
      </c>
      <c r="H31" s="8">
        <f xml:space="preserve"> Week3!G5 - Week7!G31</f>
        <v>-105.18243627182559</v>
      </c>
      <c r="J31" s="12">
        <v>-0.25765657912177498</v>
      </c>
    </row>
    <row r="32" spans="1:12" ht="18">
      <c r="A32">
        <v>5</v>
      </c>
      <c r="B32">
        <v>5</v>
      </c>
      <c r="C32" s="12" t="s">
        <v>138</v>
      </c>
      <c r="D32" s="10" t="s">
        <v>137</v>
      </c>
      <c r="E32" s="12">
        <v>4021.5011695428002</v>
      </c>
      <c r="F32" s="5">
        <v>4310.9805594415402</v>
      </c>
      <c r="G32" s="8">
        <f t="shared" si="3"/>
        <v>6.7149314618166649</v>
      </c>
      <c r="H32" s="8">
        <f xml:space="preserve"> Week3!G6 - Week7!G32</f>
        <v>49.075499205365219</v>
      </c>
      <c r="J32" s="12">
        <v>1139.76763933693</v>
      </c>
    </row>
    <row r="33" spans="1:10" ht="18">
      <c r="A33">
        <v>6</v>
      </c>
      <c r="B33">
        <v>6</v>
      </c>
      <c r="C33" s="12" t="s">
        <v>140</v>
      </c>
      <c r="D33" s="10" t="s">
        <v>146</v>
      </c>
      <c r="E33" s="12">
        <v>-0.12430862230397099</v>
      </c>
      <c r="F33" s="5">
        <v>-0.15947669058205399</v>
      </c>
      <c r="G33" s="8">
        <f t="shared" si="3"/>
        <v>22.052168344933339</v>
      </c>
      <c r="H33" s="8">
        <f xml:space="preserve"> Week3!G7 - Week7!G33</f>
        <v>39.194354129469531</v>
      </c>
      <c r="J33" s="12">
        <v>-0.321668949645806</v>
      </c>
    </row>
    <row r="34" spans="1:10" ht="18">
      <c r="A34">
        <v>7</v>
      </c>
      <c r="B34">
        <v>7</v>
      </c>
      <c r="C34" s="12" t="s">
        <v>143</v>
      </c>
      <c r="D34" s="10" t="s">
        <v>142</v>
      </c>
      <c r="E34" s="12">
        <v>1.88380795677045</v>
      </c>
      <c r="F34" s="5">
        <v>1.8684324311018099</v>
      </c>
      <c r="G34" s="8">
        <f t="shared" si="3"/>
        <v>0.81619390200471809</v>
      </c>
      <c r="H34" s="8">
        <f xml:space="preserve"> Week3!G8 - Week7!G34</f>
        <v>28.492162129430628</v>
      </c>
      <c r="J34" s="12">
        <v>1.79866302231526</v>
      </c>
    </row>
    <row r="35" spans="1:10" ht="18">
      <c r="A35">
        <v>8</v>
      </c>
      <c r="B35">
        <v>8</v>
      </c>
      <c r="C35" s="12" t="s">
        <v>145</v>
      </c>
      <c r="D35" s="10" t="s">
        <v>142</v>
      </c>
      <c r="E35" s="12">
        <v>9.9707717627203998</v>
      </c>
      <c r="F35" s="5">
        <v>9.9515462235145993</v>
      </c>
      <c r="G35" s="8">
        <f t="shared" si="3"/>
        <v>0.19281896791262079</v>
      </c>
      <c r="H35" s="8">
        <f xml:space="preserve"> Week3!G9 - Week7!G35</f>
        <v>2.2474572625750402</v>
      </c>
      <c r="J35" s="12">
        <v>10.055705404089901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5360-05B9-BF46-ACA0-E371166E0A7A}">
  <dimension ref="A1:L35"/>
  <sheetViews>
    <sheetView topLeftCell="C1" workbookViewId="0">
      <selection activeCell="D2" sqref="D2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27.3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  <col min="10" max="10" width="17.83203125" bestFit="1" customWidth="1"/>
  </cols>
  <sheetData>
    <row r="1" spans="1:11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  <c r="J1" s="2" t="s">
        <v>57</v>
      </c>
    </row>
    <row r="2" spans="1:11" ht="18">
      <c r="A2">
        <v>1</v>
      </c>
      <c r="B2">
        <v>1</v>
      </c>
      <c r="C2" s="13" t="s">
        <v>148</v>
      </c>
      <c r="D2" s="13" t="s">
        <v>147</v>
      </c>
      <c r="E2" s="13">
        <v>7.7108751145028402E-16</v>
      </c>
      <c r="F2" s="4">
        <v>1.55842898547174E-23</v>
      </c>
      <c r="G2" s="8">
        <f>(ABS(E2 -F2)/MAX(ABS(E2),ABS(F2)) )* 100</f>
        <v>99.999997978920732</v>
      </c>
      <c r="H2" s="8">
        <f xml:space="preserve"> Week4!G2 - Week8!G2</f>
        <v>2.0210792683883483E-6</v>
      </c>
      <c r="I2" s="3"/>
      <c r="J2" s="13">
        <v>2.1552763417276701E-4</v>
      </c>
      <c r="K2">
        <f>ABS(F2) - ABS(J2)</f>
        <v>-2.1552763417276701E-4</v>
      </c>
    </row>
    <row r="3" spans="1:11" ht="34">
      <c r="A3">
        <v>2</v>
      </c>
      <c r="B3">
        <v>2</v>
      </c>
      <c r="C3" s="13" t="s">
        <v>150</v>
      </c>
      <c r="D3" s="13" t="s">
        <v>151</v>
      </c>
      <c r="E3" s="13">
        <v>0.61120521576144304</v>
      </c>
      <c r="F3" s="5">
        <v>0.147156885668869</v>
      </c>
      <c r="G3" s="8">
        <f t="shared" ref="G3:G9" si="0">(ABS(E3 -F3)/MAX(ABS(E3),ABS(F3)) )* 100</f>
        <v>75.923489873112416</v>
      </c>
      <c r="H3" s="8">
        <f xml:space="preserve"> Week4!G3 - Week8!G3</f>
        <v>-58.925604767894384</v>
      </c>
      <c r="J3" s="13">
        <v>0.41421500528851501</v>
      </c>
      <c r="K3">
        <f t="shared" ref="K3:K9" si="1">ABS(F3) - ABS(J3)</f>
        <v>-0.26705811961964598</v>
      </c>
    </row>
    <row r="4" spans="1:11" ht="18">
      <c r="A4">
        <v>3</v>
      </c>
      <c r="B4">
        <v>3</v>
      </c>
      <c r="C4" s="13" t="s">
        <v>153</v>
      </c>
      <c r="D4" s="13" t="s">
        <v>147</v>
      </c>
      <c r="E4" s="13">
        <v>-7.1645825427363698E-3</v>
      </c>
      <c r="F4" s="5">
        <v>-5.44952338148788E-2</v>
      </c>
      <c r="G4" s="8">
        <f t="shared" si="0"/>
        <v>86.852827226919374</v>
      </c>
      <c r="H4" s="8">
        <f xml:space="preserve"> Week4!G4 - Week8!G4</f>
        <v>-30.528149658631236</v>
      </c>
      <c r="J4" s="13">
        <v>-4.6199868011901598E-3</v>
      </c>
      <c r="K4">
        <f t="shared" si="1"/>
        <v>4.9875247013688638E-2</v>
      </c>
    </row>
    <row r="5" spans="1:11" ht="18">
      <c r="A5">
        <v>4</v>
      </c>
      <c r="B5">
        <v>4</v>
      </c>
      <c r="C5" s="13" t="s">
        <v>169</v>
      </c>
      <c r="D5" s="13" t="s">
        <v>147</v>
      </c>
      <c r="E5" s="13">
        <v>0.57749759425457003</v>
      </c>
      <c r="F5" s="5">
        <v>0.38876268954520699</v>
      </c>
      <c r="G5" s="8">
        <f t="shared" si="0"/>
        <v>32.681504925224978</v>
      </c>
      <c r="H5" s="8">
        <f xml:space="preserve"> Week4!G5 - Week8!G5</f>
        <v>47.160601228829911</v>
      </c>
      <c r="J5" s="13">
        <v>0.64593201475483397</v>
      </c>
      <c r="K5">
        <f t="shared" si="1"/>
        <v>-0.25716932520962699</v>
      </c>
    </row>
    <row r="6" spans="1:11" ht="18">
      <c r="A6">
        <v>5</v>
      </c>
      <c r="B6">
        <v>5</v>
      </c>
      <c r="C6" s="13" t="s">
        <v>157</v>
      </c>
      <c r="D6" s="13" t="s">
        <v>147</v>
      </c>
      <c r="E6" s="13">
        <v>4310.9805594415402</v>
      </c>
      <c r="F6" s="5">
        <v>4158.7866946484401</v>
      </c>
      <c r="G6" s="8">
        <f t="shared" si="0"/>
        <v>3.5303769686406543</v>
      </c>
      <c r="H6" s="8">
        <f xml:space="preserve"> Week4!G6 - Week8!G6</f>
        <v>34.965542575325628</v>
      </c>
      <c r="J6" s="13">
        <v>4196.1960363899398</v>
      </c>
      <c r="K6">
        <f t="shared" si="1"/>
        <v>-37.409341741499702</v>
      </c>
    </row>
    <row r="7" spans="1:11" ht="18">
      <c r="A7">
        <v>6</v>
      </c>
      <c r="B7">
        <v>6</v>
      </c>
      <c r="C7" s="13" t="s">
        <v>163</v>
      </c>
      <c r="D7" s="10" t="s">
        <v>162</v>
      </c>
      <c r="E7" s="13">
        <v>-0.12430862230397099</v>
      </c>
      <c r="F7" s="5">
        <v>-0.28274379072022199</v>
      </c>
      <c r="G7" s="8">
        <f t="shared" si="0"/>
        <v>56.034888692931297</v>
      </c>
      <c r="H7" s="8">
        <f xml:space="preserve"> Week4!G7 - Week8!G7</f>
        <v>5.6948256349508242</v>
      </c>
      <c r="J7" s="13">
        <v>-0.225240846153381</v>
      </c>
      <c r="K7">
        <f t="shared" si="1"/>
        <v>5.7502944566840991E-2</v>
      </c>
    </row>
    <row r="8" spans="1:11" ht="18">
      <c r="A8">
        <v>7</v>
      </c>
      <c r="B8">
        <v>7</v>
      </c>
      <c r="C8" s="13" t="s">
        <v>170</v>
      </c>
      <c r="D8" s="10" t="s">
        <v>164</v>
      </c>
      <c r="E8" s="13">
        <v>1.88380795677045</v>
      </c>
      <c r="F8" s="5">
        <v>1.4390676532540101</v>
      </c>
      <c r="G8" s="8">
        <f t="shared" si="0"/>
        <v>23.60857973436373</v>
      </c>
      <c r="H8" s="8">
        <f xml:space="preserve"> Week4!G8 - Week8!G8</f>
        <v>14.772679218361937</v>
      </c>
      <c r="J8" s="13">
        <v>1.7831573756904999</v>
      </c>
      <c r="K8">
        <f t="shared" si="1"/>
        <v>-0.34408972243648983</v>
      </c>
    </row>
    <row r="9" spans="1:11" ht="18">
      <c r="A9">
        <v>8</v>
      </c>
      <c r="B9">
        <v>8</v>
      </c>
      <c r="C9" s="13" t="s">
        <v>168</v>
      </c>
      <c r="D9" s="10" t="s">
        <v>164</v>
      </c>
      <c r="E9" s="13">
        <v>9.9707717627203998</v>
      </c>
      <c r="F9" s="5">
        <v>9.9534885233509005</v>
      </c>
      <c r="G9" s="8">
        <f t="shared" si="0"/>
        <v>0.17333903313401847</v>
      </c>
      <c r="H9" s="8">
        <f xml:space="preserve"> Week4!G9 - Week8!G9</f>
        <v>-0.1004345563409674</v>
      </c>
      <c r="J9" s="13">
        <v>10.055621427000901</v>
      </c>
      <c r="K9">
        <f t="shared" si="1"/>
        <v>-0.10213290365000027</v>
      </c>
    </row>
    <row r="12" spans="1:11">
      <c r="A12" t="s">
        <v>89</v>
      </c>
    </row>
    <row r="13" spans="1:11">
      <c r="A13" t="s">
        <v>38</v>
      </c>
      <c r="B13" t="s">
        <v>0</v>
      </c>
      <c r="C13" t="s">
        <v>39</v>
      </c>
      <c r="D13" t="s">
        <v>40</v>
      </c>
      <c r="E13" s="2" t="s">
        <v>15</v>
      </c>
      <c r="F13" s="2" t="s">
        <v>16</v>
      </c>
      <c r="G13" s="6" t="s">
        <v>18</v>
      </c>
      <c r="H13" s="6" t="s">
        <v>43</v>
      </c>
      <c r="I13" s="2" t="s">
        <v>14</v>
      </c>
      <c r="J13" s="2" t="s">
        <v>57</v>
      </c>
    </row>
    <row r="14" spans="1:11" ht="18">
      <c r="A14">
        <v>1</v>
      </c>
      <c r="B14">
        <v>1</v>
      </c>
      <c r="C14" s="12" t="s">
        <v>148</v>
      </c>
      <c r="D14" s="13" t="s">
        <v>147</v>
      </c>
      <c r="E14" s="11">
        <v>7.7108751145028402E-16</v>
      </c>
      <c r="F14" s="3"/>
      <c r="G14" s="8">
        <f>(ABS(E14 -F14)/MAX(ABS(E14),ABS(F14)) )* 100</f>
        <v>100</v>
      </c>
      <c r="H14" s="8">
        <f xml:space="preserve"> Week3!G14 - Week8!G14</f>
        <v>-100</v>
      </c>
      <c r="J14" s="12">
        <v>2.1552763417276701E-4</v>
      </c>
    </row>
    <row r="15" spans="1:11" ht="34">
      <c r="A15">
        <v>2</v>
      </c>
      <c r="B15">
        <v>2</v>
      </c>
      <c r="C15" s="12" t="s">
        <v>150</v>
      </c>
      <c r="D15" s="13" t="s">
        <v>151</v>
      </c>
      <c r="E15" s="12">
        <v>0.61120521576144304</v>
      </c>
      <c r="F15" s="5"/>
      <c r="G15" s="8">
        <f t="shared" ref="G15:G21" si="2">(ABS(E15 -F15)/MAX(ABS(E15),ABS(F15)) )* 100</f>
        <v>100</v>
      </c>
      <c r="H15" s="8">
        <f xml:space="preserve"> Week3!G15 - Week8!G15</f>
        <v>-100</v>
      </c>
      <c r="J15" s="12">
        <v>0.41421500528851501</v>
      </c>
    </row>
    <row r="16" spans="1:11" ht="18">
      <c r="A16">
        <v>3</v>
      </c>
      <c r="B16">
        <v>3</v>
      </c>
      <c r="C16" s="12" t="s">
        <v>153</v>
      </c>
      <c r="D16" s="13" t="s">
        <v>147</v>
      </c>
      <c r="E16" s="12">
        <v>-7.1645825427363698E-3</v>
      </c>
      <c r="G16" s="8">
        <f t="shared" si="2"/>
        <v>100</v>
      </c>
      <c r="H16" s="8">
        <f xml:space="preserve"> Week3!G16 - Week8!G16</f>
        <v>-100</v>
      </c>
      <c r="J16" s="12">
        <v>-4.6199868011901598E-3</v>
      </c>
    </row>
    <row r="17" spans="1:12" ht="18">
      <c r="A17">
        <v>4</v>
      </c>
      <c r="B17">
        <v>4</v>
      </c>
      <c r="C17" s="12" t="s">
        <v>155</v>
      </c>
      <c r="D17" s="13" t="s">
        <v>147</v>
      </c>
      <c r="E17" s="12">
        <v>0.57749759425457003</v>
      </c>
      <c r="F17" s="5"/>
      <c r="G17" s="8">
        <f t="shared" si="2"/>
        <v>100</v>
      </c>
      <c r="H17" s="8">
        <f xml:space="preserve"> Week3!G17 - Week8!G17</f>
        <v>-100</v>
      </c>
      <c r="J17" s="12">
        <v>0.64593201475483397</v>
      </c>
    </row>
    <row r="18" spans="1:12" ht="18">
      <c r="A18">
        <v>5</v>
      </c>
      <c r="B18">
        <v>5</v>
      </c>
      <c r="C18" s="12" t="s">
        <v>157</v>
      </c>
      <c r="D18" s="13" t="s">
        <v>147</v>
      </c>
      <c r="E18" s="12">
        <v>4310.9805594415402</v>
      </c>
      <c r="F18" s="5"/>
      <c r="G18" s="8">
        <f t="shared" si="2"/>
        <v>100</v>
      </c>
      <c r="H18" s="8">
        <f xml:space="preserve"> Week3!G18 - Week8!G18</f>
        <v>-100</v>
      </c>
      <c r="J18" s="12">
        <v>4196.1960363899398</v>
      </c>
    </row>
    <row r="19" spans="1:12" ht="18">
      <c r="A19">
        <v>6</v>
      </c>
      <c r="B19">
        <v>6</v>
      </c>
      <c r="C19" s="12" t="s">
        <v>160</v>
      </c>
      <c r="D19" s="13" t="s">
        <v>161</v>
      </c>
      <c r="E19" s="12">
        <v>-0.12430862230397099</v>
      </c>
      <c r="F19" s="5"/>
      <c r="G19" s="8">
        <f t="shared" si="2"/>
        <v>100</v>
      </c>
      <c r="H19" s="8">
        <f xml:space="preserve"> Week3!G19 - Week8!G19</f>
        <v>-100</v>
      </c>
      <c r="J19" s="12">
        <v>-0.68032936100050401</v>
      </c>
    </row>
    <row r="20" spans="1:12" ht="18">
      <c r="A20">
        <v>7</v>
      </c>
      <c r="B20">
        <v>7</v>
      </c>
      <c r="C20" s="12" t="s">
        <v>165</v>
      </c>
      <c r="D20" s="13" t="s">
        <v>161</v>
      </c>
      <c r="E20" s="12">
        <v>1.88380795677045</v>
      </c>
      <c r="F20" s="5"/>
      <c r="G20" s="8">
        <f t="shared" si="2"/>
        <v>100</v>
      </c>
      <c r="H20" s="8">
        <f xml:space="preserve"> Week3!G20 - Week8!G20</f>
        <v>-100</v>
      </c>
      <c r="J20" s="12">
        <v>1.15147506727585</v>
      </c>
    </row>
    <row r="21" spans="1:12" ht="18">
      <c r="A21">
        <v>8</v>
      </c>
      <c r="B21">
        <v>8</v>
      </c>
      <c r="C21" s="12" t="s">
        <v>167</v>
      </c>
      <c r="D21" s="13" t="s">
        <v>161</v>
      </c>
      <c r="E21" s="12">
        <v>9.9707717627203998</v>
      </c>
      <c r="F21" s="5"/>
      <c r="G21" s="8">
        <f t="shared" si="2"/>
        <v>100</v>
      </c>
      <c r="H21" s="8">
        <f xml:space="preserve"> Week3!G21 - Week8!G21</f>
        <v>-100</v>
      </c>
      <c r="J21" s="12">
        <v>9.4274088419550495</v>
      </c>
    </row>
    <row r="25" spans="1:12">
      <c r="A25" t="s">
        <v>79</v>
      </c>
    </row>
    <row r="27" spans="1:12">
      <c r="A27" t="s">
        <v>38</v>
      </c>
      <c r="B27" t="s">
        <v>0</v>
      </c>
      <c r="C27" t="s">
        <v>39</v>
      </c>
      <c r="D27" t="s">
        <v>40</v>
      </c>
      <c r="E27" s="2" t="s">
        <v>15</v>
      </c>
      <c r="F27" s="2" t="s">
        <v>16</v>
      </c>
      <c r="G27" s="6" t="s">
        <v>18</v>
      </c>
      <c r="H27" s="6" t="s">
        <v>43</v>
      </c>
      <c r="I27" s="2" t="s">
        <v>14</v>
      </c>
      <c r="J27" s="2" t="s">
        <v>57</v>
      </c>
      <c r="L27" t="s">
        <v>94</v>
      </c>
    </row>
    <row r="28" spans="1:12" ht="18">
      <c r="A28">
        <v>1</v>
      </c>
      <c r="B28">
        <v>1</v>
      </c>
      <c r="C28" s="12" t="s">
        <v>149</v>
      </c>
      <c r="D28" s="10" t="s">
        <v>79</v>
      </c>
      <c r="E28" s="11"/>
      <c r="F28" s="3"/>
      <c r="G28" s="8" t="e">
        <f>(ABS(E28 -F28)/MAX(ABS(E28),ABS(F28)) )* 100</f>
        <v>#DIV/0!</v>
      </c>
      <c r="H28" s="8" t="e">
        <f xml:space="preserve"> Week3!G2 - Week8!G28</f>
        <v>#DIV/0!</v>
      </c>
      <c r="J28" s="12">
        <v>-1.8030313221813401E-3</v>
      </c>
    </row>
    <row r="29" spans="1:12" ht="18">
      <c r="A29">
        <v>2</v>
      </c>
      <c r="B29">
        <v>2</v>
      </c>
      <c r="C29" s="12" t="s">
        <v>152</v>
      </c>
      <c r="D29" s="10" t="s">
        <v>79</v>
      </c>
      <c r="E29" s="12"/>
      <c r="F29" s="5"/>
      <c r="G29" s="8" t="e">
        <f t="shared" ref="G29:G35" si="3">(ABS(E29 -F29)/MAX(ABS(E29),ABS(F29)) )* 100</f>
        <v>#DIV/0!</v>
      </c>
      <c r="H29" s="8" t="e">
        <f xml:space="preserve"> Week3!G3 - Week8!G29</f>
        <v>#DIV/0!</v>
      </c>
      <c r="J29" s="12">
        <v>0.58391205395133206</v>
      </c>
    </row>
    <row r="30" spans="1:12" ht="18">
      <c r="A30">
        <v>3</v>
      </c>
      <c r="B30">
        <v>3</v>
      </c>
      <c r="C30" s="12" t="s">
        <v>154</v>
      </c>
      <c r="D30" s="10" t="s">
        <v>79</v>
      </c>
      <c r="E30" s="12"/>
      <c r="G30" s="8" t="e">
        <f t="shared" si="3"/>
        <v>#DIV/0!</v>
      </c>
      <c r="H30" s="8" t="e">
        <f xml:space="preserve"> Week3!G4 - Week8!G30</f>
        <v>#DIV/0!</v>
      </c>
      <c r="J30" s="12">
        <v>-0.10027326290794999</v>
      </c>
    </row>
    <row r="31" spans="1:12" ht="18">
      <c r="A31">
        <v>4</v>
      </c>
      <c r="B31">
        <v>4</v>
      </c>
      <c r="C31" s="12" t="s">
        <v>156</v>
      </c>
      <c r="D31" s="10" t="s">
        <v>79</v>
      </c>
      <c r="E31" s="12"/>
      <c r="F31" s="5"/>
      <c r="G31" s="8" t="e">
        <f t="shared" si="3"/>
        <v>#DIV/0!</v>
      </c>
      <c r="H31" s="8" t="e">
        <f xml:space="preserve"> Week3!G5 - Week8!G31</f>
        <v>#DIV/0!</v>
      </c>
      <c r="J31" s="12">
        <v>-9.9621962834792299E-2</v>
      </c>
    </row>
    <row r="32" spans="1:12" ht="18">
      <c r="A32">
        <v>5</v>
      </c>
      <c r="B32">
        <v>5</v>
      </c>
      <c r="C32" s="12" t="s">
        <v>158</v>
      </c>
      <c r="D32" s="10" t="s">
        <v>159</v>
      </c>
      <c r="E32" s="12"/>
      <c r="F32" s="5"/>
      <c r="G32" s="8" t="e">
        <f t="shared" si="3"/>
        <v>#DIV/0!</v>
      </c>
      <c r="H32" s="8" t="e">
        <f xml:space="preserve"> Week3!G6 - Week8!G32</f>
        <v>#DIV/0!</v>
      </c>
      <c r="J32" s="12">
        <v>3327.9711854080501</v>
      </c>
    </row>
    <row r="33" spans="1:10" ht="18">
      <c r="A33">
        <v>6</v>
      </c>
      <c r="B33">
        <v>6</v>
      </c>
      <c r="C33" s="12" t="s">
        <v>163</v>
      </c>
      <c r="D33" s="10" t="s">
        <v>162</v>
      </c>
      <c r="E33" s="12"/>
      <c r="F33" s="5"/>
      <c r="G33" s="8" t="e">
        <f t="shared" si="3"/>
        <v>#DIV/0!</v>
      </c>
      <c r="H33" s="8" t="e">
        <f xml:space="preserve"> Week3!G7 - Week8!G33</f>
        <v>#DIV/0!</v>
      </c>
      <c r="J33" s="12">
        <v>-0.225240846153381</v>
      </c>
    </row>
    <row r="34" spans="1:10" ht="18">
      <c r="A34">
        <v>7</v>
      </c>
      <c r="B34">
        <v>7</v>
      </c>
      <c r="C34" s="12" t="s">
        <v>166</v>
      </c>
      <c r="D34" s="10" t="s">
        <v>164</v>
      </c>
      <c r="E34" s="12"/>
      <c r="F34" s="5"/>
      <c r="G34" s="8" t="e">
        <f t="shared" si="3"/>
        <v>#DIV/0!</v>
      </c>
      <c r="H34" s="8" t="e">
        <f xml:space="preserve"> Week3!G8 - Week8!G34</f>
        <v>#DIV/0!</v>
      </c>
      <c r="J34" s="12">
        <v>1.7831573756904999</v>
      </c>
    </row>
    <row r="35" spans="1:10" ht="18">
      <c r="A35">
        <v>8</v>
      </c>
      <c r="B35">
        <v>8</v>
      </c>
      <c r="C35" s="12" t="s">
        <v>168</v>
      </c>
      <c r="D35" s="10" t="s">
        <v>164</v>
      </c>
      <c r="E35" s="12"/>
      <c r="F35" s="5"/>
      <c r="G35" s="8" t="e">
        <f t="shared" si="3"/>
        <v>#DIV/0!</v>
      </c>
      <c r="H35" s="8" t="e">
        <f xml:space="preserve"> Week3!G9 - Week8!G35</f>
        <v>#DIV/0!</v>
      </c>
      <c r="J35" s="12">
        <v>10.055621427000901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FB90-2D9B-E248-9E12-5FBF92F46F8C}">
  <dimension ref="A1:L35"/>
  <sheetViews>
    <sheetView workbookViewId="0">
      <selection activeCell="D2" sqref="D2:D9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27.3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  <col min="10" max="10" width="17.83203125" bestFit="1" customWidth="1"/>
  </cols>
  <sheetData>
    <row r="1" spans="1:11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  <c r="J1" s="2" t="s">
        <v>57</v>
      </c>
    </row>
    <row r="2" spans="1:11" ht="19">
      <c r="A2">
        <v>1</v>
      </c>
      <c r="B2">
        <v>1</v>
      </c>
      <c r="C2" s="18" t="s">
        <v>171</v>
      </c>
      <c r="D2" s="13" t="s">
        <v>177</v>
      </c>
      <c r="E2" s="13">
        <v>7.7108751145028402E-16</v>
      </c>
      <c r="F2" s="4">
        <v>5.2647530338544495E-57</v>
      </c>
      <c r="G2" s="8">
        <f>(ABS(E2 -F2)/MAX(ABS(E2),ABS(F2)) )* 100</f>
        <v>100</v>
      </c>
      <c r="H2" s="8">
        <f xml:space="preserve"> Week4!G2 - Week9!G2</f>
        <v>0</v>
      </c>
      <c r="I2" s="3"/>
      <c r="J2" s="13">
        <v>2.1552763417276701E-4</v>
      </c>
      <c r="K2">
        <f>ABS(F2) - ABS(J2)</f>
        <v>-2.1552763417276701E-4</v>
      </c>
    </row>
    <row r="3" spans="1:11" ht="18">
      <c r="A3">
        <v>2</v>
      </c>
      <c r="B3">
        <v>2</v>
      </c>
      <c r="C3" s="19" t="s">
        <v>172</v>
      </c>
      <c r="D3" s="13" t="s">
        <v>177</v>
      </c>
      <c r="E3" s="13">
        <v>0.61120521576144304</v>
      </c>
      <c r="F3" s="5">
        <v>0.63564435544545905</v>
      </c>
      <c r="G3" s="8">
        <f t="shared" ref="G3:G9" si="0">(ABS(E3 -F3)/MAX(ABS(E3),ABS(F3)) )* 100</f>
        <v>3.844781987702711</v>
      </c>
      <c r="H3" s="8">
        <f xml:space="preserve"> Week4!G3 - Week9!G3</f>
        <v>13.153103117515318</v>
      </c>
      <c r="J3" s="13">
        <v>0.41421500528851501</v>
      </c>
      <c r="K3">
        <f t="shared" ref="K3:K9" si="1">ABS(F3) - ABS(J3)</f>
        <v>0.22142935015694404</v>
      </c>
    </row>
    <row r="4" spans="1:11" ht="18">
      <c r="A4">
        <v>3</v>
      </c>
      <c r="B4">
        <v>3</v>
      </c>
      <c r="C4" s="19" t="s">
        <v>173</v>
      </c>
      <c r="D4" s="13" t="s">
        <v>177</v>
      </c>
      <c r="E4" s="13">
        <v>-7.1645825427363698E-3</v>
      </c>
      <c r="F4" s="5">
        <v>-2.6296009521582001E-3</v>
      </c>
      <c r="G4" s="8">
        <f t="shared" si="0"/>
        <v>63.297220229193194</v>
      </c>
      <c r="H4" s="8">
        <f xml:space="preserve"> Week4!G4 - Week9!G4</f>
        <v>-6.9725426609050558</v>
      </c>
      <c r="J4" s="13">
        <v>-4.6199868011901598E-3</v>
      </c>
      <c r="K4">
        <f t="shared" si="1"/>
        <v>-1.9903858490319597E-3</v>
      </c>
    </row>
    <row r="5" spans="1:11" ht="18">
      <c r="A5">
        <v>4</v>
      </c>
      <c r="B5">
        <v>4</v>
      </c>
      <c r="C5" s="19" t="s">
        <v>174</v>
      </c>
      <c r="D5" s="13" t="s">
        <v>177</v>
      </c>
      <c r="E5" s="13">
        <v>0.57749759425457003</v>
      </c>
      <c r="F5" s="5">
        <v>0.57701270290822404</v>
      </c>
      <c r="G5" s="8">
        <f t="shared" si="0"/>
        <v>8.3964219274694843E-2</v>
      </c>
      <c r="H5" s="8">
        <f xml:space="preserve"> Week4!G5 - Week9!G5</f>
        <v>79.758141934780198</v>
      </c>
      <c r="J5" s="13">
        <v>0.64593201475483397</v>
      </c>
      <c r="K5">
        <f t="shared" si="1"/>
        <v>-6.8919311846609932E-2</v>
      </c>
    </row>
    <row r="6" spans="1:11" ht="18">
      <c r="A6">
        <v>5</v>
      </c>
      <c r="B6">
        <v>5</v>
      </c>
      <c r="C6" s="19" t="s">
        <v>175</v>
      </c>
      <c r="D6" s="13" t="s">
        <v>177</v>
      </c>
      <c r="E6" s="13">
        <v>4310.9805594415402</v>
      </c>
      <c r="F6" s="5">
        <v>4189.1605631845196</v>
      </c>
      <c r="G6" s="8">
        <f t="shared" si="0"/>
        <v>2.825807135460654</v>
      </c>
      <c r="H6" s="8">
        <f xml:space="preserve"> Week4!G6 - Week9!G6</f>
        <v>35.670112408505624</v>
      </c>
      <c r="J6" s="13">
        <v>4196.1960363899398</v>
      </c>
      <c r="K6">
        <f t="shared" si="1"/>
        <v>-7.0354732054202032</v>
      </c>
    </row>
    <row r="7" spans="1:11" ht="18">
      <c r="A7">
        <v>6</v>
      </c>
      <c r="B7">
        <v>6</v>
      </c>
      <c r="C7" s="20" t="s">
        <v>176</v>
      </c>
      <c r="D7" s="13" t="s">
        <v>177</v>
      </c>
      <c r="E7" s="13">
        <v>-0.12430862230397099</v>
      </c>
      <c r="F7" s="5">
        <v>-0.14749973636875199</v>
      </c>
      <c r="G7" s="8">
        <f t="shared" si="0"/>
        <v>15.722817298332517</v>
      </c>
      <c r="H7" s="8">
        <f xml:space="preserve"> Week4!G7 - Week9!G7</f>
        <v>46.006897029549606</v>
      </c>
      <c r="J7" s="13">
        <v>-0.225240846153381</v>
      </c>
      <c r="K7">
        <f t="shared" si="1"/>
        <v>-7.7741109784629003E-2</v>
      </c>
    </row>
    <row r="8" spans="1:11" ht="18">
      <c r="A8">
        <v>7</v>
      </c>
      <c r="B8">
        <v>7</v>
      </c>
      <c r="C8" s="20" t="s">
        <v>178</v>
      </c>
      <c r="D8" s="13" t="s">
        <v>179</v>
      </c>
      <c r="E8" s="13">
        <v>1.88380795677045</v>
      </c>
      <c r="F8" s="5">
        <v>1.7512570814124699</v>
      </c>
      <c r="G8" s="8">
        <f t="shared" si="0"/>
        <v>7.0363263347300915</v>
      </c>
      <c r="H8" s="8">
        <f xml:space="preserve"> Week4!G8 - Week9!G8</f>
        <v>31.344932617995575</v>
      </c>
      <c r="J8" s="13">
        <v>1.7831573756904999</v>
      </c>
      <c r="K8">
        <f t="shared" si="1"/>
        <v>-3.1900294278029984E-2</v>
      </c>
    </row>
    <row r="9" spans="1:11" ht="18">
      <c r="A9">
        <v>8</v>
      </c>
      <c r="B9">
        <v>8</v>
      </c>
      <c r="C9" s="13" t="s">
        <v>180</v>
      </c>
      <c r="D9" s="13" t="s">
        <v>179</v>
      </c>
      <c r="E9" s="13">
        <v>9.9707717627203998</v>
      </c>
      <c r="F9" s="5">
        <v>6.4336900000000004</v>
      </c>
      <c r="G9" s="8">
        <f t="shared" si="0"/>
        <v>35.474503347325154</v>
      </c>
      <c r="H9" s="8">
        <f xml:space="preserve"> Week4!G9 - Week9!G9</f>
        <v>-35.401598870532105</v>
      </c>
      <c r="J9" s="13">
        <v>10.055621427000901</v>
      </c>
      <c r="K9">
        <f t="shared" si="1"/>
        <v>-3.6219314270009004</v>
      </c>
    </row>
    <row r="12" spans="1:11">
      <c r="A12" t="s">
        <v>89</v>
      </c>
    </row>
    <row r="13" spans="1:11">
      <c r="A13" t="s">
        <v>38</v>
      </c>
      <c r="B13" t="s">
        <v>0</v>
      </c>
      <c r="C13" t="s">
        <v>39</v>
      </c>
      <c r="D13" t="s">
        <v>40</v>
      </c>
      <c r="E13" s="2" t="s">
        <v>15</v>
      </c>
      <c r="F13" s="2" t="s">
        <v>16</v>
      </c>
      <c r="G13" s="6" t="s">
        <v>18</v>
      </c>
      <c r="H13" s="6" t="s">
        <v>43</v>
      </c>
      <c r="I13" s="2" t="s">
        <v>14</v>
      </c>
      <c r="J13" s="2" t="s">
        <v>57</v>
      </c>
    </row>
    <row r="14" spans="1:11" ht="18">
      <c r="A14">
        <v>1</v>
      </c>
      <c r="B14">
        <v>1</v>
      </c>
      <c r="C14" s="12"/>
      <c r="D14" s="13"/>
      <c r="E14" s="11"/>
      <c r="F14" s="3"/>
      <c r="G14" s="8" t="e">
        <f>(ABS(E14 -F14)/MAX(ABS(E14),ABS(F14)) )* 100</f>
        <v>#DIV/0!</v>
      </c>
      <c r="H14" s="8" t="e">
        <f xml:space="preserve"> Week3!G14 - Week9!G14</f>
        <v>#DIV/0!</v>
      </c>
      <c r="J14" s="12">
        <v>2.1552763417276701E-4</v>
      </c>
    </row>
    <row r="15" spans="1:11" ht="18">
      <c r="A15">
        <v>2</v>
      </c>
      <c r="B15">
        <v>2</v>
      </c>
      <c r="C15" s="12"/>
      <c r="D15" s="13"/>
      <c r="E15" s="12"/>
      <c r="F15" s="5"/>
      <c r="G15" s="8" t="e">
        <f t="shared" ref="G15:G21" si="2">(ABS(E15 -F15)/MAX(ABS(E15),ABS(F15)) )* 100</f>
        <v>#DIV/0!</v>
      </c>
      <c r="H15" s="8" t="e">
        <f xml:space="preserve"> Week3!G15 - Week9!G15</f>
        <v>#DIV/0!</v>
      </c>
      <c r="J15" s="12">
        <v>0.41421500528851501</v>
      </c>
    </row>
    <row r="16" spans="1:11" ht="18">
      <c r="A16">
        <v>3</v>
      </c>
      <c r="B16">
        <v>3</v>
      </c>
      <c r="C16" s="12"/>
      <c r="D16" s="13"/>
      <c r="E16" s="12"/>
      <c r="G16" s="8" t="e">
        <f t="shared" si="2"/>
        <v>#DIV/0!</v>
      </c>
      <c r="H16" s="8" t="e">
        <f xml:space="preserve"> Week3!G16 - Week9!G16</f>
        <v>#DIV/0!</v>
      </c>
      <c r="J16" s="12">
        <v>-4.6199868011901598E-3</v>
      </c>
    </row>
    <row r="17" spans="1:12" ht="18">
      <c r="A17">
        <v>4</v>
      </c>
      <c r="B17">
        <v>4</v>
      </c>
      <c r="C17" s="12"/>
      <c r="D17" s="13"/>
      <c r="E17" s="12"/>
      <c r="F17" s="5"/>
      <c r="G17" s="8" t="e">
        <f t="shared" si="2"/>
        <v>#DIV/0!</v>
      </c>
      <c r="H17" s="8" t="e">
        <f xml:space="preserve"> Week3!G17 - Week9!G17</f>
        <v>#DIV/0!</v>
      </c>
      <c r="J17" s="12">
        <v>0.64593201475483397</v>
      </c>
    </row>
    <row r="18" spans="1:12" ht="18">
      <c r="A18">
        <v>5</v>
      </c>
      <c r="B18">
        <v>5</v>
      </c>
      <c r="C18" s="12"/>
      <c r="D18" s="13"/>
      <c r="E18" s="12"/>
      <c r="F18" s="5"/>
      <c r="G18" s="8" t="e">
        <f t="shared" si="2"/>
        <v>#DIV/0!</v>
      </c>
      <c r="H18" s="8" t="e">
        <f xml:space="preserve"> Week3!G18 - Week9!G18</f>
        <v>#DIV/0!</v>
      </c>
      <c r="J18" s="12">
        <v>4196.1960363899398</v>
      </c>
    </row>
    <row r="19" spans="1:12" ht="18">
      <c r="A19">
        <v>6</v>
      </c>
      <c r="B19">
        <v>6</v>
      </c>
      <c r="C19" s="12"/>
      <c r="D19" s="13"/>
      <c r="E19" s="12"/>
      <c r="F19" s="5"/>
      <c r="G19" s="8" t="e">
        <f t="shared" si="2"/>
        <v>#DIV/0!</v>
      </c>
      <c r="H19" s="8" t="e">
        <f xml:space="preserve"> Week3!G19 - Week9!G19</f>
        <v>#DIV/0!</v>
      </c>
      <c r="J19" s="12">
        <v>-0.68032936100050401</v>
      </c>
    </row>
    <row r="20" spans="1:12" ht="18">
      <c r="A20">
        <v>7</v>
      </c>
      <c r="B20">
        <v>7</v>
      </c>
      <c r="C20" s="12"/>
      <c r="D20" s="13"/>
      <c r="E20" s="12"/>
      <c r="F20" s="5"/>
      <c r="G20" s="8" t="e">
        <f t="shared" si="2"/>
        <v>#DIV/0!</v>
      </c>
      <c r="H20" s="8" t="e">
        <f xml:space="preserve"> Week3!G20 - Week9!G20</f>
        <v>#DIV/0!</v>
      </c>
      <c r="J20" s="12">
        <v>1.15147506727585</v>
      </c>
    </row>
    <row r="21" spans="1:12" ht="18">
      <c r="A21">
        <v>8</v>
      </c>
      <c r="B21">
        <v>8</v>
      </c>
      <c r="C21" s="12"/>
      <c r="D21" s="13"/>
      <c r="E21" s="12"/>
      <c r="F21" s="5"/>
      <c r="G21" s="8" t="e">
        <f t="shared" si="2"/>
        <v>#DIV/0!</v>
      </c>
      <c r="H21" s="8" t="e">
        <f xml:space="preserve"> Week3!G21 - Week9!G21</f>
        <v>#DIV/0!</v>
      </c>
      <c r="J21" s="12">
        <v>9.4274088419550495</v>
      </c>
    </row>
    <row r="25" spans="1:12">
      <c r="A25" t="s">
        <v>79</v>
      </c>
    </row>
    <row r="27" spans="1:12">
      <c r="A27" t="s">
        <v>38</v>
      </c>
      <c r="B27" t="s">
        <v>0</v>
      </c>
      <c r="C27" t="s">
        <v>39</v>
      </c>
      <c r="D27" t="s">
        <v>40</v>
      </c>
      <c r="E27" s="2" t="s">
        <v>15</v>
      </c>
      <c r="F27" s="2" t="s">
        <v>16</v>
      </c>
      <c r="G27" s="6" t="s">
        <v>18</v>
      </c>
      <c r="H27" s="6" t="s">
        <v>43</v>
      </c>
      <c r="I27" s="2" t="s">
        <v>14</v>
      </c>
      <c r="J27" s="2" t="s">
        <v>57</v>
      </c>
      <c r="L27" t="s">
        <v>94</v>
      </c>
    </row>
    <row r="28" spans="1:12" ht="18">
      <c r="A28">
        <v>1</v>
      </c>
      <c r="B28">
        <v>1</v>
      </c>
      <c r="C28" s="12"/>
      <c r="D28" s="10"/>
      <c r="E28" s="11"/>
      <c r="F28" s="3"/>
      <c r="G28" s="8" t="e">
        <f>(ABS(E28 -F28)/MAX(ABS(E28),ABS(F28)) )* 100</f>
        <v>#DIV/0!</v>
      </c>
      <c r="H28" s="8" t="e">
        <f xml:space="preserve"> Week3!G2 - Week9!G28</f>
        <v>#DIV/0!</v>
      </c>
      <c r="J28" s="12">
        <v>-1.8030313221813401E-3</v>
      </c>
    </row>
    <row r="29" spans="1:12" ht="18">
      <c r="A29">
        <v>2</v>
      </c>
      <c r="B29">
        <v>2</v>
      </c>
      <c r="C29" s="12"/>
      <c r="D29" s="10"/>
      <c r="E29" s="12"/>
      <c r="F29" s="5"/>
      <c r="G29" s="8" t="e">
        <f t="shared" ref="G29:G35" si="3">(ABS(E29 -F29)/MAX(ABS(E29),ABS(F29)) )* 100</f>
        <v>#DIV/0!</v>
      </c>
      <c r="H29" s="8" t="e">
        <f xml:space="preserve"> Week3!G3 - Week9!G29</f>
        <v>#DIV/0!</v>
      </c>
      <c r="J29" s="12">
        <v>0.58391205395133206</v>
      </c>
    </row>
    <row r="30" spans="1:12" ht="18">
      <c r="A30">
        <v>3</v>
      </c>
      <c r="B30">
        <v>3</v>
      </c>
      <c r="C30" s="12"/>
      <c r="D30" s="10"/>
      <c r="E30" s="12"/>
      <c r="G30" s="8" t="e">
        <f t="shared" si="3"/>
        <v>#DIV/0!</v>
      </c>
      <c r="H30" s="8" t="e">
        <f xml:space="preserve"> Week3!G4 - Week9!G30</f>
        <v>#DIV/0!</v>
      </c>
      <c r="J30" s="12">
        <v>-0.10027326290794999</v>
      </c>
    </row>
    <row r="31" spans="1:12" ht="18">
      <c r="A31">
        <v>4</v>
      </c>
      <c r="B31">
        <v>4</v>
      </c>
      <c r="C31" s="12"/>
      <c r="D31" s="10"/>
      <c r="E31" s="12"/>
      <c r="F31" s="5"/>
      <c r="G31" s="8" t="e">
        <f t="shared" si="3"/>
        <v>#DIV/0!</v>
      </c>
      <c r="H31" s="8" t="e">
        <f xml:space="preserve"> Week3!G5 - Week9!G31</f>
        <v>#DIV/0!</v>
      </c>
      <c r="J31" s="12">
        <v>-9.9621962834792299E-2</v>
      </c>
    </row>
    <row r="32" spans="1:12" ht="18">
      <c r="A32">
        <v>5</v>
      </c>
      <c r="B32">
        <v>5</v>
      </c>
      <c r="C32" s="12"/>
      <c r="D32" s="10"/>
      <c r="E32" s="12"/>
      <c r="F32" s="5"/>
      <c r="G32" s="8" t="e">
        <f t="shared" si="3"/>
        <v>#DIV/0!</v>
      </c>
      <c r="H32" s="8" t="e">
        <f xml:space="preserve"> Week3!G6 - Week9!G32</f>
        <v>#DIV/0!</v>
      </c>
      <c r="J32" s="12">
        <v>3327.9711854080501</v>
      </c>
    </row>
    <row r="33" spans="1:10" ht="18">
      <c r="A33">
        <v>6</v>
      </c>
      <c r="B33">
        <v>6</v>
      </c>
      <c r="C33" s="12"/>
      <c r="D33" s="10"/>
      <c r="E33" s="12"/>
      <c r="F33" s="5"/>
      <c r="G33" s="8" t="e">
        <f t="shared" si="3"/>
        <v>#DIV/0!</v>
      </c>
      <c r="H33" s="8" t="e">
        <f xml:space="preserve"> Week3!G7 - Week9!G33</f>
        <v>#DIV/0!</v>
      </c>
      <c r="J33" s="12">
        <v>-0.225240846153381</v>
      </c>
    </row>
    <row r="34" spans="1:10" ht="18">
      <c r="A34">
        <v>7</v>
      </c>
      <c r="B34">
        <v>7</v>
      </c>
      <c r="C34" s="12"/>
      <c r="D34" s="10"/>
      <c r="E34" s="12"/>
      <c r="F34" s="5"/>
      <c r="G34" s="8" t="e">
        <f t="shared" si="3"/>
        <v>#DIV/0!</v>
      </c>
      <c r="H34" s="8" t="e">
        <f xml:space="preserve"> Week3!G8 - Week9!G34</f>
        <v>#DIV/0!</v>
      </c>
      <c r="J34" s="12">
        <v>1.7831573756904999</v>
      </c>
    </row>
    <row r="35" spans="1:10" ht="18">
      <c r="A35">
        <v>8</v>
      </c>
      <c r="B35">
        <v>8</v>
      </c>
      <c r="C35" s="12"/>
      <c r="D35" s="10"/>
      <c r="E35" s="12"/>
      <c r="F35" s="5"/>
      <c r="G35" s="8" t="e">
        <f t="shared" si="3"/>
        <v>#DIV/0!</v>
      </c>
      <c r="H35" s="8" t="e">
        <f xml:space="preserve"> Week3!G9 - Week9!G35</f>
        <v>#DIV/0!</v>
      </c>
      <c r="J35" s="12">
        <v>10.055621427000901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4F33-0F72-E045-9A1C-A86F31202424}">
  <dimension ref="A1:L35"/>
  <sheetViews>
    <sheetView workbookViewId="0">
      <selection activeCell="C9" sqref="C9"/>
    </sheetView>
  </sheetViews>
  <sheetFormatPr baseColWidth="10" defaultRowHeight="16"/>
  <cols>
    <col min="2" max="2" width="8.33203125" bestFit="1" customWidth="1"/>
    <col min="3" max="3" width="86.33203125" bestFit="1" customWidth="1"/>
    <col min="4" max="4" width="27.33203125" bestFit="1" customWidth="1"/>
    <col min="5" max="5" width="28" bestFit="1" customWidth="1"/>
    <col min="6" max="6" width="19" bestFit="1" customWidth="1"/>
    <col min="7" max="7" width="22.83203125" bestFit="1" customWidth="1"/>
    <col min="8" max="8" width="25.1640625" style="7" bestFit="1" customWidth="1"/>
    <col min="9" max="9" width="30.33203125" bestFit="1" customWidth="1"/>
    <col min="10" max="10" width="17.83203125" bestFit="1" customWidth="1"/>
  </cols>
  <sheetData>
    <row r="1" spans="1:11">
      <c r="A1" t="s">
        <v>38</v>
      </c>
      <c r="B1" t="s">
        <v>0</v>
      </c>
      <c r="C1" t="s">
        <v>39</v>
      </c>
      <c r="D1" t="s">
        <v>40</v>
      </c>
      <c r="E1" s="2" t="s">
        <v>15</v>
      </c>
      <c r="F1" s="2" t="s">
        <v>16</v>
      </c>
      <c r="G1" s="6" t="s">
        <v>18</v>
      </c>
      <c r="H1" s="6" t="s">
        <v>43</v>
      </c>
      <c r="I1" s="2" t="s">
        <v>14</v>
      </c>
      <c r="J1" s="2" t="s">
        <v>57</v>
      </c>
    </row>
    <row r="2" spans="1:11" ht="18">
      <c r="A2">
        <v>1</v>
      </c>
      <c r="B2">
        <v>1</v>
      </c>
      <c r="C2" s="12" t="s">
        <v>189</v>
      </c>
      <c r="D2" s="13" t="s">
        <v>188</v>
      </c>
      <c r="E2" s="11">
        <v>7.7108751145028402E-16</v>
      </c>
      <c r="F2" s="4"/>
      <c r="G2" s="8">
        <f>(ABS(E2 -F2)/MAX(ABS(E2),ABS(F2)) )* 100</f>
        <v>100</v>
      </c>
      <c r="H2" s="8">
        <f xml:space="preserve"> Week4!G2 - Week10!G2</f>
        <v>0</v>
      </c>
      <c r="I2" s="3"/>
      <c r="J2" s="12">
        <v>-1.82610597959317E-4</v>
      </c>
      <c r="K2">
        <f>ABS(F2) - ABS(J2)</f>
        <v>-1.82610597959317E-4</v>
      </c>
    </row>
    <row r="3" spans="1:11" ht="18">
      <c r="A3">
        <v>2</v>
      </c>
      <c r="B3">
        <v>2</v>
      </c>
      <c r="C3" s="12" t="s">
        <v>190</v>
      </c>
      <c r="D3" s="13" t="s">
        <v>188</v>
      </c>
      <c r="E3" s="12">
        <v>0.63564435544545905</v>
      </c>
      <c r="F3" s="5"/>
      <c r="G3" s="8">
        <f t="shared" ref="G3:G9" si="0">(ABS(E3 -F3)/MAX(ABS(E3),ABS(F3)) )* 100</f>
        <v>100</v>
      </c>
      <c r="H3" s="8">
        <f xml:space="preserve"> Week4!G3 - Week10!G3</f>
        <v>-83.002114894781968</v>
      </c>
      <c r="J3" s="12">
        <v>0.680331821170302</v>
      </c>
      <c r="K3">
        <f t="shared" ref="K3:K9" si="1">ABS(F3) - ABS(J3)</f>
        <v>-0.680331821170302</v>
      </c>
    </row>
    <row r="4" spans="1:11" ht="18">
      <c r="A4">
        <v>3</v>
      </c>
      <c r="B4">
        <v>3</v>
      </c>
      <c r="C4" s="12" t="s">
        <v>191</v>
      </c>
      <c r="D4" s="13" t="s">
        <v>188</v>
      </c>
      <c r="E4" s="12">
        <v>-2.6296009521582001E-3</v>
      </c>
      <c r="F4" s="5"/>
      <c r="G4" s="8">
        <f t="shared" si="0"/>
        <v>100</v>
      </c>
      <c r="H4" s="8">
        <f xml:space="preserve"> Week4!G4 - Week10!G4</f>
        <v>-43.675322431711862</v>
      </c>
      <c r="J4" s="12">
        <v>-1.53417251817563E-2</v>
      </c>
      <c r="K4">
        <f t="shared" si="1"/>
        <v>-1.53417251817563E-2</v>
      </c>
    </row>
    <row r="5" spans="1:11" ht="18">
      <c r="A5">
        <v>4</v>
      </c>
      <c r="B5">
        <v>4</v>
      </c>
      <c r="C5" s="12" t="s">
        <v>187</v>
      </c>
      <c r="D5" s="13" t="s">
        <v>185</v>
      </c>
      <c r="E5" s="12">
        <v>0.57749759425457003</v>
      </c>
      <c r="F5" s="5"/>
      <c r="G5" s="8">
        <f t="shared" si="0"/>
        <v>100</v>
      </c>
      <c r="H5" s="8">
        <f xml:space="preserve"> Week4!G5 - Week10!G5</f>
        <v>-20.157893845945111</v>
      </c>
      <c r="J5" s="12">
        <v>0.52942733383851404</v>
      </c>
      <c r="K5">
        <f t="shared" si="1"/>
        <v>-0.52942733383851404</v>
      </c>
    </row>
    <row r="6" spans="1:11" ht="18">
      <c r="A6">
        <v>5</v>
      </c>
      <c r="B6">
        <v>5</v>
      </c>
      <c r="C6" s="12" t="s">
        <v>186</v>
      </c>
      <c r="D6" s="13" t="s">
        <v>185</v>
      </c>
      <c r="E6" s="12">
        <v>4310.9805594415402</v>
      </c>
      <c r="F6" s="5"/>
      <c r="G6" s="8">
        <f t="shared" si="0"/>
        <v>100</v>
      </c>
      <c r="H6" s="8">
        <f xml:space="preserve"> Week4!G6 - Week10!G6</f>
        <v>-61.504080456033719</v>
      </c>
      <c r="J6" s="12">
        <v>3773.9891608299399</v>
      </c>
      <c r="K6">
        <f t="shared" si="1"/>
        <v>-3773.9891608299399</v>
      </c>
    </row>
    <row r="7" spans="1:11" ht="18">
      <c r="A7">
        <v>6</v>
      </c>
      <c r="B7">
        <v>6</v>
      </c>
      <c r="C7" s="12" t="s">
        <v>184</v>
      </c>
      <c r="D7" s="10" t="s">
        <v>181</v>
      </c>
      <c r="E7" s="12">
        <v>-0.12430862230397099</v>
      </c>
      <c r="F7" s="5"/>
      <c r="G7" s="8">
        <f t="shared" si="0"/>
        <v>100</v>
      </c>
      <c r="H7" s="8">
        <f xml:space="preserve"> Week4!G7 - Week10!G7</f>
        <v>-38.270285672117879</v>
      </c>
      <c r="J7" s="12">
        <v>-0.22564673102918401</v>
      </c>
      <c r="K7">
        <f t="shared" si="1"/>
        <v>-0.22564673102918401</v>
      </c>
    </row>
    <row r="8" spans="1:11" ht="18">
      <c r="A8">
        <v>7</v>
      </c>
      <c r="B8">
        <v>7</v>
      </c>
      <c r="C8" s="12" t="s">
        <v>183</v>
      </c>
      <c r="D8" s="10" t="s">
        <v>181</v>
      </c>
      <c r="E8" s="12">
        <v>1.88380795677045</v>
      </c>
      <c r="F8" s="5"/>
      <c r="G8" s="8">
        <f t="shared" si="0"/>
        <v>100</v>
      </c>
      <c r="H8" s="8">
        <f xml:space="preserve"> Week4!G8 - Week10!G8</f>
        <v>-61.618741047274334</v>
      </c>
      <c r="J8" s="12">
        <v>1.79243618860138</v>
      </c>
      <c r="K8">
        <f t="shared" si="1"/>
        <v>-1.79243618860138</v>
      </c>
    </row>
    <row r="9" spans="1:11" ht="18">
      <c r="A9">
        <v>8</v>
      </c>
      <c r="B9">
        <v>8</v>
      </c>
      <c r="C9" s="12" t="s">
        <v>182</v>
      </c>
      <c r="D9" s="10" t="s">
        <v>181</v>
      </c>
      <c r="E9" s="12">
        <v>9.9707717627203998</v>
      </c>
      <c r="F9" s="5"/>
      <c r="G9" s="8">
        <f t="shared" si="0"/>
        <v>100</v>
      </c>
      <c r="H9" s="8">
        <f xml:space="preserve"> Week4!G9 - Week10!G9</f>
        <v>-99.927095523206944</v>
      </c>
      <c r="J9" s="12">
        <v>10.051246412332</v>
      </c>
      <c r="K9">
        <f t="shared" si="1"/>
        <v>-10.051246412332</v>
      </c>
    </row>
    <row r="12" spans="1:11">
      <c r="A12" t="s">
        <v>89</v>
      </c>
    </row>
    <row r="13" spans="1:11">
      <c r="A13" t="s">
        <v>38</v>
      </c>
      <c r="B13" t="s">
        <v>0</v>
      </c>
      <c r="C13" t="s">
        <v>39</v>
      </c>
      <c r="D13" t="s">
        <v>40</v>
      </c>
      <c r="E13" s="2" t="s">
        <v>15</v>
      </c>
      <c r="F13" s="2" t="s">
        <v>16</v>
      </c>
      <c r="G13" s="6" t="s">
        <v>18</v>
      </c>
      <c r="H13" s="6" t="s">
        <v>43</v>
      </c>
      <c r="I13" s="2" t="s">
        <v>14</v>
      </c>
      <c r="J13" s="2" t="s">
        <v>57</v>
      </c>
    </row>
    <row r="14" spans="1:11" ht="18">
      <c r="A14">
        <v>1</v>
      </c>
      <c r="B14">
        <v>1</v>
      </c>
      <c r="C14" s="12" t="s">
        <v>189</v>
      </c>
      <c r="D14" s="13" t="s">
        <v>188</v>
      </c>
      <c r="E14" s="11">
        <v>7.7108751145028402E-16</v>
      </c>
      <c r="F14" s="3"/>
      <c r="G14" s="8" t="e">
        <f>(ABS(#REF! -F14)/MAX(ABS(#REF!),ABS(F14)) )* 100</f>
        <v>#REF!</v>
      </c>
      <c r="H14" s="8" t="e">
        <f xml:space="preserve"> Week3!G14 - Week10!G14</f>
        <v>#REF!</v>
      </c>
      <c r="J14" s="12">
        <v>-1.82610597959317E-4</v>
      </c>
      <c r="K14" s="3"/>
    </row>
    <row r="15" spans="1:11" ht="18">
      <c r="A15">
        <v>2</v>
      </c>
      <c r="B15">
        <v>2</v>
      </c>
      <c r="C15" s="12" t="s">
        <v>190</v>
      </c>
      <c r="D15" s="13" t="s">
        <v>188</v>
      </c>
      <c r="E15" s="12">
        <v>0.63564435544545905</v>
      </c>
      <c r="F15" s="5"/>
      <c r="G15" s="8">
        <f t="shared" ref="G15:G21" si="2">(ABS(E15 -F15)/MAX(ABS(E15),ABS(F15)) )* 100</f>
        <v>100</v>
      </c>
      <c r="H15" s="8">
        <f xml:space="preserve"> Week3!G15 - Week10!G15</f>
        <v>-100</v>
      </c>
      <c r="J15" s="12">
        <v>0.680331821170302</v>
      </c>
    </row>
    <row r="16" spans="1:11" ht="18">
      <c r="A16">
        <v>3</v>
      </c>
      <c r="B16">
        <v>3</v>
      </c>
      <c r="C16" s="12" t="s">
        <v>191</v>
      </c>
      <c r="D16" s="13" t="s">
        <v>188</v>
      </c>
      <c r="E16" s="12">
        <v>-2.6296009521582001E-3</v>
      </c>
      <c r="G16" s="8">
        <f t="shared" si="2"/>
        <v>100</v>
      </c>
      <c r="H16" s="8">
        <f xml:space="preserve"> Week3!G16 - Week10!G16</f>
        <v>-100</v>
      </c>
      <c r="J16" s="12">
        <v>-1.53417251817563E-2</v>
      </c>
    </row>
    <row r="17" spans="1:12" ht="18">
      <c r="A17">
        <v>4</v>
      </c>
      <c r="B17">
        <v>4</v>
      </c>
      <c r="C17" s="12" t="s">
        <v>187</v>
      </c>
      <c r="D17" s="13" t="s">
        <v>185</v>
      </c>
      <c r="E17" s="12">
        <v>0.57749759425457003</v>
      </c>
      <c r="F17" s="5"/>
      <c r="G17" s="8">
        <f t="shared" si="2"/>
        <v>100</v>
      </c>
      <c r="H17" s="8">
        <f xml:space="preserve"> Week3!G17 - Week10!G17</f>
        <v>-100</v>
      </c>
      <c r="J17" s="12">
        <v>0.52942733383851404</v>
      </c>
    </row>
    <row r="18" spans="1:12" ht="18">
      <c r="A18">
        <v>5</v>
      </c>
      <c r="B18">
        <v>5</v>
      </c>
      <c r="C18" s="12" t="s">
        <v>186</v>
      </c>
      <c r="D18" s="13" t="s">
        <v>185</v>
      </c>
      <c r="E18" s="12">
        <v>4310.9805594415402</v>
      </c>
      <c r="F18" s="5"/>
      <c r="G18" s="8">
        <f t="shared" si="2"/>
        <v>100</v>
      </c>
      <c r="H18" s="8">
        <f xml:space="preserve"> Week3!G18 - Week10!G18</f>
        <v>-100</v>
      </c>
      <c r="J18" s="12">
        <v>3773.9891608299399</v>
      </c>
    </row>
    <row r="19" spans="1:12" ht="18">
      <c r="A19">
        <v>6</v>
      </c>
      <c r="B19">
        <v>6</v>
      </c>
      <c r="C19" s="12"/>
      <c r="D19" s="13"/>
      <c r="E19" s="12"/>
      <c r="F19" s="5"/>
      <c r="G19" s="8" t="e">
        <f t="shared" si="2"/>
        <v>#DIV/0!</v>
      </c>
      <c r="H19" s="8" t="e">
        <f xml:space="preserve"> Week3!G19 - Week10!G19</f>
        <v>#DIV/0!</v>
      </c>
      <c r="J19" s="12"/>
    </row>
    <row r="20" spans="1:12" ht="18">
      <c r="A20">
        <v>7</v>
      </c>
      <c r="B20">
        <v>7</v>
      </c>
      <c r="C20" s="12"/>
      <c r="D20" s="13"/>
      <c r="E20" s="12"/>
      <c r="F20" s="5"/>
      <c r="G20" s="8" t="e">
        <f t="shared" si="2"/>
        <v>#DIV/0!</v>
      </c>
      <c r="H20" s="8" t="e">
        <f xml:space="preserve"> Week3!G20 - Week10!G20</f>
        <v>#DIV/0!</v>
      </c>
      <c r="J20" s="12"/>
    </row>
    <row r="21" spans="1:12" ht="18">
      <c r="A21">
        <v>8</v>
      </c>
      <c r="B21">
        <v>8</v>
      </c>
      <c r="C21" s="12"/>
      <c r="D21" s="13"/>
      <c r="E21" s="12"/>
      <c r="F21" s="5"/>
      <c r="G21" s="8" t="e">
        <f t="shared" si="2"/>
        <v>#DIV/0!</v>
      </c>
      <c r="H21" s="8" t="e">
        <f xml:space="preserve"> Week3!G21 - Week10!G21</f>
        <v>#DIV/0!</v>
      </c>
      <c r="J21" s="12"/>
    </row>
    <row r="25" spans="1:12">
      <c r="A25" t="s">
        <v>79</v>
      </c>
    </row>
    <row r="27" spans="1:12">
      <c r="A27" t="s">
        <v>38</v>
      </c>
      <c r="B27" t="s">
        <v>0</v>
      </c>
      <c r="C27" t="s">
        <v>39</v>
      </c>
      <c r="D27" t="s">
        <v>40</v>
      </c>
      <c r="E27" s="2" t="s">
        <v>15</v>
      </c>
      <c r="F27" s="2" t="s">
        <v>16</v>
      </c>
      <c r="G27" s="6" t="s">
        <v>18</v>
      </c>
      <c r="H27" s="6" t="s">
        <v>43</v>
      </c>
      <c r="I27" s="2" t="s">
        <v>14</v>
      </c>
      <c r="J27" s="2" t="s">
        <v>57</v>
      </c>
      <c r="L27" t="s">
        <v>94</v>
      </c>
    </row>
    <row r="28" spans="1:12" ht="18">
      <c r="A28">
        <v>1</v>
      </c>
      <c r="B28">
        <v>1</v>
      </c>
      <c r="C28" s="12"/>
      <c r="D28" s="10"/>
      <c r="E28" s="11"/>
      <c r="F28" s="3"/>
      <c r="G28" s="8" t="e">
        <f>(ABS(E28 -F28)/MAX(ABS(E28),ABS(F28)) )* 100</f>
        <v>#DIV/0!</v>
      </c>
      <c r="H28" s="8" t="e">
        <f xml:space="preserve"> Week3!G2 - Week10!G28</f>
        <v>#DIV/0!</v>
      </c>
      <c r="J28" s="12"/>
    </row>
    <row r="29" spans="1:12" ht="18">
      <c r="A29">
        <v>2</v>
      </c>
      <c r="B29">
        <v>2</v>
      </c>
      <c r="C29" s="12"/>
      <c r="D29" s="10"/>
      <c r="E29" s="12"/>
      <c r="F29" s="5"/>
      <c r="G29" s="8" t="e">
        <f t="shared" ref="G29:G35" si="3">(ABS(E29 -F29)/MAX(ABS(E29),ABS(F29)) )* 100</f>
        <v>#DIV/0!</v>
      </c>
      <c r="H29" s="8" t="e">
        <f xml:space="preserve"> Week3!G3 - Week10!G29</f>
        <v>#DIV/0!</v>
      </c>
      <c r="J29" s="12"/>
    </row>
    <row r="30" spans="1:12" ht="18">
      <c r="A30">
        <v>3</v>
      </c>
      <c r="B30">
        <v>3</v>
      </c>
      <c r="C30" s="12"/>
      <c r="D30" s="10"/>
      <c r="E30" s="12"/>
      <c r="G30" s="8" t="e">
        <f t="shared" si="3"/>
        <v>#DIV/0!</v>
      </c>
      <c r="H30" s="8" t="e">
        <f xml:space="preserve"> Week3!G4 - Week10!G30</f>
        <v>#DIV/0!</v>
      </c>
      <c r="J30" s="12"/>
    </row>
    <row r="31" spans="1:12" ht="18">
      <c r="A31">
        <v>4</v>
      </c>
      <c r="B31">
        <v>4</v>
      </c>
      <c r="C31" s="12"/>
      <c r="D31" s="10"/>
      <c r="E31" s="12"/>
      <c r="F31" s="5"/>
      <c r="G31" s="8" t="e">
        <f t="shared" si="3"/>
        <v>#DIV/0!</v>
      </c>
      <c r="H31" s="8" t="e">
        <f xml:space="preserve"> Week3!G5 - Week10!G31</f>
        <v>#DIV/0!</v>
      </c>
      <c r="J31" s="12"/>
    </row>
    <row r="32" spans="1:12" ht="18">
      <c r="A32">
        <v>5</v>
      </c>
      <c r="B32">
        <v>5</v>
      </c>
      <c r="C32" s="12"/>
      <c r="D32" s="10"/>
      <c r="E32" s="12"/>
      <c r="F32" s="5"/>
      <c r="G32" s="8" t="e">
        <f t="shared" si="3"/>
        <v>#DIV/0!</v>
      </c>
      <c r="H32" s="8" t="e">
        <f xml:space="preserve"> Week3!G6 - Week10!G32</f>
        <v>#DIV/0!</v>
      </c>
      <c r="J32" s="12"/>
    </row>
    <row r="33" spans="1:10" ht="18">
      <c r="A33">
        <v>6</v>
      </c>
      <c r="B33">
        <v>6</v>
      </c>
      <c r="C33" s="12" t="s">
        <v>184</v>
      </c>
      <c r="D33" s="10" t="s">
        <v>181</v>
      </c>
      <c r="E33" s="12">
        <v>-0.12430862230397099</v>
      </c>
      <c r="F33" s="5"/>
      <c r="G33" s="8">
        <f t="shared" si="3"/>
        <v>100</v>
      </c>
      <c r="H33" s="8">
        <f xml:space="preserve"> Week3!G7 - Week10!G33</f>
        <v>-38.753477525597134</v>
      </c>
      <c r="J33" s="12">
        <v>-0.22564673102918401</v>
      </c>
    </row>
    <row r="34" spans="1:10" ht="18">
      <c r="A34">
        <v>7</v>
      </c>
      <c r="B34">
        <v>7</v>
      </c>
      <c r="C34" s="12" t="s">
        <v>183</v>
      </c>
      <c r="D34" s="10" t="s">
        <v>181</v>
      </c>
      <c r="E34" s="12">
        <v>1.88380795677045</v>
      </c>
      <c r="F34" s="5"/>
      <c r="G34" s="8">
        <f t="shared" si="3"/>
        <v>100</v>
      </c>
      <c r="H34" s="8">
        <f xml:space="preserve"> Week3!G8 - Week10!G34</f>
        <v>-70.691643968564648</v>
      </c>
      <c r="J34" s="12">
        <v>1.79243618860138</v>
      </c>
    </row>
    <row r="35" spans="1:10" ht="18">
      <c r="A35">
        <v>8</v>
      </c>
      <c r="B35">
        <v>8</v>
      </c>
      <c r="C35" s="12" t="s">
        <v>182</v>
      </c>
      <c r="D35" s="10" t="s">
        <v>181</v>
      </c>
      <c r="E35" s="12">
        <v>9.9707717627203998</v>
      </c>
      <c r="F35" s="5"/>
      <c r="G35" s="8">
        <f t="shared" si="3"/>
        <v>100</v>
      </c>
      <c r="H35" s="8">
        <f xml:space="preserve"> Week3!G9 - Week10!G35</f>
        <v>-97.559723769512345</v>
      </c>
      <c r="J35" s="12">
        <v>10.051246412332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Week1</vt:lpstr>
      <vt:lpstr>Week2</vt:lpstr>
      <vt:lpstr>Week3</vt:lpstr>
      <vt:lpstr>Week4</vt:lpstr>
      <vt:lpstr>Week5</vt:lpstr>
      <vt:lpstr>Week6</vt:lpstr>
      <vt:lpstr>Week7</vt:lpstr>
      <vt:lpstr>Week8</vt:lpstr>
      <vt:lpstr>Week9</vt:lpstr>
      <vt:lpstr>Week10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Panta</dc:creator>
  <cp:lastModifiedBy>Naresh Panta</cp:lastModifiedBy>
  <dcterms:created xsi:type="dcterms:W3CDTF">2025-10-08T04:57:09Z</dcterms:created>
  <dcterms:modified xsi:type="dcterms:W3CDTF">2025-12-16T22:35:30Z</dcterms:modified>
</cp:coreProperties>
</file>