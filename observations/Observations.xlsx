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eshpanta/Documents/GitHub/imperial-ai-ml-capstone-project/observations/"/>
    </mc:Choice>
  </mc:AlternateContent>
  <xr:revisionPtr revIDLastSave="0" documentId="13_ncr:1_{37797517-0E69-A444-B1E1-56B7F526C886}" xr6:coauthVersionLast="47" xr6:coauthVersionMax="47" xr10:uidLastSave="{00000000-0000-0000-0000-000000000000}"/>
  <bookViews>
    <workbookView xWindow="0" yWindow="680" windowWidth="30240" windowHeight="17920" xr2:uid="{879C9F3D-DEC7-554E-8B9E-2E328A028C98}"/>
  </bookViews>
  <sheets>
    <sheet name="Summary" sheetId="3" r:id="rId1"/>
    <sheet name="Week1" sheetId="1" r:id="rId2"/>
    <sheet name="Week2" sheetId="2" r:id="rId3"/>
    <sheet name="Week3" sheetId="5" r:id="rId4"/>
    <sheet name="Week4" sheetId="6" r:id="rId5"/>
    <sheet name="Week5" sheetId="7" r:id="rId6"/>
    <sheet name="Week6" sheetId="8" r:id="rId7"/>
    <sheet name="Week7" sheetId="9" r:id="rId8"/>
    <sheet name="Week8" sheetId="10" r:id="rId9"/>
    <sheet name="Week9" sheetId="11" r:id="rId10"/>
    <sheet name="Week10" sheetId="12" r:id="rId11"/>
    <sheet name="Week11" sheetId="13" r:id="rId12"/>
    <sheet name="Week12" sheetId="14" r:id="rId13"/>
    <sheet name="Week13" sheetId="1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3" l="1"/>
  <c r="N7" i="3"/>
  <c r="N8" i="3"/>
  <c r="N9" i="3"/>
  <c r="N10" i="3"/>
  <c r="N11" i="3"/>
  <c r="N12" i="3"/>
  <c r="N5" i="3"/>
  <c r="M6" i="3"/>
  <c r="M7" i="3"/>
  <c r="M8" i="3"/>
  <c r="M9" i="3"/>
  <c r="M10" i="3"/>
  <c r="M11" i="3"/>
  <c r="M12" i="3"/>
  <c r="M5" i="3"/>
  <c r="L6" i="3"/>
  <c r="L7" i="3"/>
  <c r="L8" i="3"/>
  <c r="L9" i="3"/>
  <c r="L10" i="3"/>
  <c r="L11" i="3"/>
  <c r="L12" i="3"/>
  <c r="L5" i="3"/>
  <c r="K6" i="3"/>
  <c r="K7" i="3"/>
  <c r="K8" i="3"/>
  <c r="K9" i="3"/>
  <c r="K10" i="3"/>
  <c r="K11" i="3"/>
  <c r="K12" i="3"/>
  <c r="K5" i="3"/>
  <c r="G9" i="12"/>
  <c r="G8" i="12"/>
  <c r="G7" i="12"/>
  <c r="G6" i="12"/>
  <c r="G5" i="12"/>
  <c r="G4" i="12"/>
  <c r="G3" i="12"/>
  <c r="G2" i="12"/>
  <c r="J6" i="3"/>
  <c r="J7" i="3"/>
  <c r="J8" i="3"/>
  <c r="J9" i="3"/>
  <c r="J10" i="3"/>
  <c r="J11" i="3"/>
  <c r="J12" i="3"/>
  <c r="J5" i="3"/>
  <c r="I6" i="3"/>
  <c r="I7" i="3"/>
  <c r="I8" i="3"/>
  <c r="I9" i="3"/>
  <c r="I10" i="3"/>
  <c r="I11" i="3"/>
  <c r="I12" i="3"/>
  <c r="I5" i="3"/>
  <c r="H6" i="3"/>
  <c r="H7" i="3"/>
  <c r="H8" i="3"/>
  <c r="H9" i="3"/>
  <c r="H10" i="3"/>
  <c r="H11" i="3"/>
  <c r="H12" i="3"/>
  <c r="H5" i="3"/>
  <c r="G6" i="3"/>
  <c r="G7" i="3"/>
  <c r="G8" i="3"/>
  <c r="G9" i="3"/>
  <c r="G10" i="3"/>
  <c r="G11" i="3"/>
  <c r="G12" i="3"/>
  <c r="G5" i="3"/>
  <c r="F12" i="3"/>
  <c r="F11" i="3"/>
  <c r="F10" i="3"/>
  <c r="F9" i="3"/>
  <c r="F8" i="3"/>
  <c r="F7" i="3"/>
  <c r="F6" i="3"/>
  <c r="F5" i="3"/>
  <c r="E6" i="3"/>
  <c r="E7" i="3"/>
  <c r="E8" i="3"/>
  <c r="E9" i="3"/>
  <c r="E10" i="3"/>
  <c r="E11" i="3"/>
  <c r="E12" i="3"/>
  <c r="E5" i="3"/>
  <c r="D6" i="3"/>
  <c r="P6" i="3" s="1"/>
  <c r="D7" i="3"/>
  <c r="D8" i="3"/>
  <c r="D9" i="3"/>
  <c r="D10" i="3"/>
  <c r="D11" i="3"/>
  <c r="D12" i="3"/>
  <c r="D5" i="3"/>
  <c r="C6" i="3"/>
  <c r="C7" i="3"/>
  <c r="C8" i="3"/>
  <c r="C9" i="3"/>
  <c r="C10" i="3"/>
  <c r="C11" i="3"/>
  <c r="C12" i="3"/>
  <c r="C5" i="3"/>
  <c r="B6" i="3"/>
  <c r="B7" i="3"/>
  <c r="B8" i="3"/>
  <c r="B9" i="3"/>
  <c r="B10" i="3"/>
  <c r="B11" i="3"/>
  <c r="B12" i="3"/>
  <c r="B5" i="3"/>
  <c r="Q6" i="3" l="1"/>
  <c r="P9" i="3"/>
  <c r="Q9" i="3"/>
  <c r="Q10" i="3"/>
  <c r="P10" i="3"/>
  <c r="Q11" i="3"/>
  <c r="P11" i="3"/>
  <c r="Q12" i="3"/>
  <c r="P12" i="3"/>
  <c r="Q5" i="3"/>
  <c r="P5" i="3"/>
  <c r="P7" i="3"/>
  <c r="Q7" i="3"/>
  <c r="P8" i="3"/>
  <c r="Q8" i="3"/>
</calcChain>
</file>

<file path=xl/sharedStrings.xml><?xml version="1.0" encoding="utf-8"?>
<sst xmlns="http://schemas.openxmlformats.org/spreadsheetml/2006/main" count="442" uniqueCount="178">
  <si>
    <t>Function</t>
  </si>
  <si>
    <t>Next Best Points</t>
  </si>
  <si>
    <t>.428571 - .142857</t>
  </si>
  <si>
    <t>.795918  - .959184</t>
  </si>
  <si>
    <t>.489796 - .612245 - .326531</t>
  </si>
  <si>
    <t>Took longer to calculate the ucb values ( 4 minutes)</t>
  </si>
  <si>
    <t>0.428571 - 0.448979 - 0.387755 - 0.448979</t>
  </si>
  <si>
    <t>0.224489 - 0.836734 - 0.877551 - 0.877551</t>
  </si>
  <si>
    <t>I had started with grid_size = 50 Grid search creation took long time and crashed the python process. Because it tried to create 50^5 = 312.5 million points
I then changed the grid size to 10 and reran. It did not produce the sufficient points
then changed to grid size = 20 and reran</t>
  </si>
  <si>
    <t>.736842 - .157895 - .736842 - .684211 - .052632</t>
  </si>
  <si>
    <t>Changed the grid_size = 10. With grid search 10, UCB next best point were coming with similar values for all. 
So I changed to random sample with sample = 10000000 (10M)</t>
  </si>
  <si>
    <t>0.151199 - 0.033732 - 0.730708 - 0.344778 - 0.023911 - 0.533736</t>
  </si>
  <si>
    <t xml:space="preserve">8D. Started with random sample of 1000000 (1M) sample </t>
  </si>
  <si>
    <t>0.022440 - 0.191554 - 0.027755 - 0.095156 - 0.791674 - 0.395249-0.075154-0.444097</t>
  </si>
  <si>
    <t>Maximum value in the given data</t>
  </si>
  <si>
    <t>Result after this input</t>
  </si>
  <si>
    <t>% Difference with Maxima</t>
  </si>
  <si>
    <t>0.775510-0.795918</t>
  </si>
  <si>
    <t>0.714286-0.938776</t>
  </si>
  <si>
    <t>0.428571-0.448980-0.489796</t>
  </si>
  <si>
    <t>Took longer to calculate the ucb values ( almost 5  minutes)</t>
  </si>
  <si>
    <t>0.469388-0.469388-0.285714-0.428571</t>
  </si>
  <si>
    <t>0.204082-0.877551-0.857143-0.897959</t>
  </si>
  <si>
    <t>grid size = 20</t>
  </si>
  <si>
    <t>Random search with 10M sample. took around  8 minute to run.</t>
  </si>
  <si>
    <t>0.023952-0.436365-0.285535-0.137788-0.353289-0.747301</t>
  </si>
  <si>
    <t>0.368421-0.263158-0.526316-0.842105-0.105263</t>
  </si>
  <si>
    <t xml:space="preserve">Random search with 1M sample. </t>
  </si>
  <si>
    <t>0.008892-0.448205-0.002458-0.605908-0.634393-0.706540-0.036133-0.701302</t>
  </si>
  <si>
    <t>Week1</t>
  </si>
  <si>
    <t>Week2</t>
  </si>
  <si>
    <t>Week3</t>
  </si>
  <si>
    <t>Week4</t>
  </si>
  <si>
    <t>Week5</t>
  </si>
  <si>
    <t>Week6</t>
  </si>
  <si>
    <t>Order</t>
  </si>
  <si>
    <t xml:space="preserve">Next Best Points </t>
  </si>
  <si>
    <t>Method</t>
  </si>
  <si>
    <t>Calculated using GP and UCB</t>
  </si>
  <si>
    <t>Calculated using GP and UCB. changed grid size to 100</t>
  </si>
  <si>
    <t>0.808081-0.717172</t>
  </si>
  <si>
    <t>0.656566-0.939394</t>
  </si>
  <si>
    <t>Calculated using GP and UCB.changed grid size to 100</t>
  </si>
  <si>
    <t>0.545455-0.666667-0.585859</t>
  </si>
  <si>
    <t>Random search with 3M sample</t>
  </si>
  <si>
    <t>0.372475-0.484827-0.477273-0.411341</t>
  </si>
  <si>
    <t xml:space="preserve">0.220562-0.993718-0.92325-0.93226 </t>
  </si>
  <si>
    <t>0.359946-0.009339-0.744659-0.973816-0.016177</t>
  </si>
  <si>
    <t>0.025165-0.343159-0.324152-0.113682-0.321857-0.924456</t>
  </si>
  <si>
    <t xml:space="preserve">Random search with 3M sample. </t>
  </si>
  <si>
    <t>0.135865-0.220521-0.003626-0.027379-0.41093-0.081034-0.127128-0.747297</t>
  </si>
  <si>
    <t>0.399405-0.632402</t>
  </si>
  <si>
    <t>Predicted max value</t>
  </si>
  <si>
    <t>Changed from UCB to SVM</t>
  </si>
  <si>
    <t>0.729253-0.058662</t>
  </si>
  <si>
    <t>0.474657-0.469540-0.376028</t>
  </si>
  <si>
    <t>0.310497-0.337378-0.332006-0.378659</t>
  </si>
  <si>
    <t>0.210582-0.914111-0.854212-0.943472</t>
  </si>
  <si>
    <t>0.412263-0.328525-0.520517-0.793617-0.125967</t>
  </si>
  <si>
    <t>0.003259-0.392839-0.309986-0.034139-0.323222-0.843995</t>
  </si>
  <si>
    <t>0.122471-0.258725-0.109219-0.228651-0.547005-0.439823-0.346755-0.502501</t>
  </si>
  <si>
    <t>Result after each week</t>
  </si>
  <si>
    <t>Week7</t>
  </si>
  <si>
    <t>Week8</t>
  </si>
  <si>
    <t>Week9</t>
  </si>
  <si>
    <t>Week10</t>
  </si>
  <si>
    <t>Week11</t>
  </si>
  <si>
    <t>Week12</t>
  </si>
  <si>
    <t>Maximum Week</t>
  </si>
  <si>
    <t>Maximum value</t>
  </si>
  <si>
    <t>Surrogate function</t>
  </si>
  <si>
    <t>GP and UCB</t>
  </si>
  <si>
    <t>SVM</t>
  </si>
  <si>
    <t>0.040981-0.991637</t>
  </si>
  <si>
    <t>0.999980-0.502674</t>
  </si>
  <si>
    <t>0.470795-0.469432-0.384002</t>
  </si>
  <si>
    <t>0.005966-0.408227-0.235281-0.257264-0.364575-0.611106</t>
  </si>
  <si>
    <t>Changed c = 10 from 1.0. SVM</t>
  </si>
  <si>
    <t>0.192695-0.299481-0.178516-0.223527-0.635056-0.453264-0.202099-0.598408</t>
  </si>
  <si>
    <t>0.707071-0.878788</t>
  </si>
  <si>
    <t>0.437681-0.304730-0.402971-0.465417</t>
  </si>
  <si>
    <t>0.223249-0.991019-0.987207-0.989510</t>
  </si>
  <si>
    <t>GP UCB</t>
  </si>
  <si>
    <t>0.403200-0.358308-0.537100-0.806405-0.125919</t>
  </si>
  <si>
    <t>GP UCB. changed kappa from 2 to 4 
def ucb(x, gp, kappa=4.0):</t>
  </si>
  <si>
    <t xml:space="preserve">Best Surrogate </t>
  </si>
  <si>
    <t>GP UCB. same as above</t>
  </si>
  <si>
    <t>0.272727-0.646465</t>
  </si>
  <si>
    <t>0.727273-0.848485</t>
  </si>
  <si>
    <t>0.505051-0.505051-0.333333</t>
  </si>
  <si>
    <t>0.210130-0.932370-0.868367-0.947575</t>
  </si>
  <si>
    <t>0.391891-0.368600-0.531377-0.802436-0.120967</t>
  </si>
  <si>
    <t>0.012847-0.337198-0.189260-0.238606-0.359323-0.557438</t>
  </si>
  <si>
    <t xml:space="preserve">SVM. Kept c = 10 </t>
  </si>
  <si>
    <t>0.296830-0.339701-0.328080-0.381113</t>
  </si>
  <si>
    <t>0.128221-0.210897-0.140317-0.254160-0.652099-0.458573-0.200614-0.567749</t>
  </si>
  <si>
    <t>GP  and UCB</t>
  </si>
  <si>
    <t>0.343434-0.686869</t>
  </si>
  <si>
    <t>GP and UCB with kappa 1.0</t>
  </si>
  <si>
    <t>0.767677-0.171717</t>
  </si>
  <si>
    <t>GP and UCB with kappa 4.0</t>
  </si>
  <si>
    <t>0.484848-0.464646-0.343434</t>
  </si>
  <si>
    <t>0.409933-0.364803-0.392926-0.352123</t>
  </si>
  <si>
    <t>0.256514-0.99714-0.999654-0.992373</t>
  </si>
  <si>
    <t>0.431450-0.341100-0.525399-0.767641-0.116168</t>
  </si>
  <si>
    <t>SVM. Changed  C from 10 to 50</t>
  </si>
  <si>
    <t>0.005938-0.357099-0.254090-0.226019-0.373983-0.567737</t>
  </si>
  <si>
    <t>0.116710-0.257625-0.102652-0.256898-0.608380-0.438972-0.202376-0.673922</t>
  </si>
  <si>
    <t>SVM. Changed C from 10 to 0.5</t>
  </si>
  <si>
    <t>GP with kappa 0.5</t>
  </si>
  <si>
    <t>0.757576-0.747475</t>
  </si>
  <si>
    <t>0.636364-0.040404</t>
  </si>
  <si>
    <t>GP with kappa 3.0 for more exploitation</t>
  </si>
  <si>
    <t>0.484848-0.484848-0.363636</t>
  </si>
  <si>
    <t>0.331337-0.998687-0.980926-0.995698</t>
  </si>
  <si>
    <t>SVM with c=20 from  0.5</t>
  </si>
  <si>
    <t>0.409767-0.323588-0.540202-0.774776-0.098109</t>
  </si>
  <si>
    <t>SVM with c=15 from 10</t>
  </si>
  <si>
    <t>0.100296-0.265682-0.146924-0.288241-0.662098-0.485298-0.240507-0.639099</t>
  </si>
  <si>
    <t>0.402280-0.380074-0.375910-0.363568</t>
  </si>
  <si>
    <t>0.005690-0.361594-0.232773-0.260054-0.435480-0.530060</t>
  </si>
  <si>
    <t>0.910000-0.600000</t>
  </si>
  <si>
    <t>0.696970-0.858586</t>
  </si>
  <si>
    <t>0.523000-0.537000-0.421000</t>
  </si>
  <si>
    <t>0.415000-0.370000-0.390000-0.360000</t>
  </si>
  <si>
    <t>0.260000-0.995000-0.995000-0.990000</t>
  </si>
  <si>
    <t>0.410000-0.340000-0.540000-0.790000-0.120000</t>
  </si>
  <si>
    <t>LLM - GP and EI</t>
  </si>
  <si>
    <t>0.006000-0.370000-0.240000-0.245000-0.390000-0.560000</t>
  </si>
  <si>
    <t>LLM - SVM</t>
  </si>
  <si>
    <t>0.960000-0.970000-0.660000-0.660000-0.670000-0.910000-0.460000-0.560000</t>
  </si>
  <si>
    <t>SVM. Changed c=5</t>
  </si>
  <si>
    <t>0.096247-0.307438-0.179137-0.224319-0.639023-0.468022-0.244508-0.623882</t>
  </si>
  <si>
    <t>0.013022-0.372151-0.206708-0.284926-0.256746-0.578120</t>
  </si>
  <si>
    <t>0.394021-0.358425-0.531582-0.785604-0.130915</t>
  </si>
  <si>
    <t>GP and UCB. Changed Kappa=1</t>
  </si>
  <si>
    <t>0.565589-0.990737-0.998529-0.990139</t>
  </si>
  <si>
    <t>0.406135-0.306049-0.368563-0.326907</t>
  </si>
  <si>
    <t>GP and EI</t>
  </si>
  <si>
    <t>0.272727-0.454545</t>
  </si>
  <si>
    <t>0.707071-0.888889</t>
  </si>
  <si>
    <t>0.474747-0.444444-0.363636</t>
  </si>
  <si>
    <t>GP and EI. Changed EI to 0.001 from 0.01 for exploitation</t>
  </si>
  <si>
    <t>0.787879-0.919192</t>
  </si>
  <si>
    <t>GP and changed from UCB to EI with xi=0.01</t>
  </si>
  <si>
    <t>0.401976-0.362499-0.443216-0.362051</t>
  </si>
  <si>
    <t>GP and UCB with kappa=1</t>
  </si>
  <si>
    <t>0.405247-0.994863-0.998796-0.997793</t>
  </si>
  <si>
    <t>SVM. Changed C back to 1 from 5</t>
  </si>
  <si>
    <t>0.423065-0.335611-0.549974-0.769547-0.114872</t>
  </si>
  <si>
    <t>SVM continiue with C=5</t>
  </si>
  <si>
    <t>0.001165-0.304194-0.258543-0.284629-0.258669-0.614834</t>
  </si>
  <si>
    <t>SVM with C=10</t>
  </si>
  <si>
    <t>0.097805-0.249076-0.092150-0.283382-0.631658-0.456355-0.291001-0.613192</t>
  </si>
  <si>
    <t>GP and EI. Changed EI back to 0.01</t>
  </si>
  <si>
    <t>0.222222-0.262626</t>
  </si>
  <si>
    <t>0.515152-0.535354-0.424242</t>
  </si>
  <si>
    <t>GP and UCB. Changed from EI to UCB</t>
  </si>
  <si>
    <t>0.458177-0.406071-0.433334-0.377300</t>
  </si>
  <si>
    <t>GP and UCB. Kappa continue with 1</t>
  </si>
  <si>
    <t>SVM with  c=1</t>
  </si>
  <si>
    <t>SVM continue with C=10</t>
  </si>
  <si>
    <t>0.693927-0.995985-0.998781-0.984237</t>
  </si>
  <si>
    <t>0.436945-0.341659-0.542857-0.779310-0.141693</t>
  </si>
  <si>
    <t>0.015379-0.223299-0.253615-0.317338-0.159980-0.596164</t>
  </si>
  <si>
    <t>0.185782-0.257161-0.122317-0.261284-0.594025-0.405767-0.247267-0.624735</t>
  </si>
  <si>
    <t>Week13</t>
  </si>
  <si>
    <t>0.414141-0.333333</t>
  </si>
  <si>
    <t>0.696970-0.868687</t>
  </si>
  <si>
    <t>0.515152-0.535354-0.414141</t>
  </si>
  <si>
    <t>0.362002-0.351956-0.390709-0.400795</t>
  </si>
  <si>
    <t>0.916261-0.995322-0.998084-0.992599</t>
  </si>
  <si>
    <t>0.431685-0.335768-0.530269-0.798711-0.091383</t>
  </si>
  <si>
    <t>0.021184-0.272155-0.185764-0.224253-0.239233-0.594301</t>
  </si>
  <si>
    <t>0.174160-0.295507-0.170780-0.217257-0.593033-0.427753-0.273786-0.592173</t>
  </si>
  <si>
    <t>GP and EI.EI kept at  0.01</t>
  </si>
  <si>
    <t>GP and EI. EI kept at  0.01</t>
  </si>
  <si>
    <t>GP and UCB. Continue with UCB with kappa=1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</si>
</sst>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rgb="FF444444"/>
      <name val="Arial"/>
      <family val="2"/>
    </font>
    <font>
      <sz val="12"/>
      <color rgb="FF000000"/>
      <name val="Aptos Narrow"/>
      <family val="2"/>
      <scheme val="minor"/>
    </font>
    <font>
      <sz val="12"/>
      <color rgb="FFCCCCCC"/>
      <name val="Menlo"/>
      <family val="2"/>
    </font>
    <font>
      <sz val="8"/>
      <name val="Aptos Narrow"/>
      <family val="2"/>
      <scheme val="minor"/>
    </font>
    <font>
      <sz val="15"/>
      <color rgb="FF26221F"/>
      <name val="Ginto Copilot Variable"/>
    </font>
    <font>
      <sz val="14"/>
      <color rgb="FF26221F"/>
      <name val="Cascadia Code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1" fontId="0" fillId="0" borderId="0" xfId="0" applyNumberFormat="1"/>
    <xf numFmtId="11" fontId="3" fillId="0" borderId="0" xfId="0" applyNumberFormat="1" applyFont="1"/>
    <xf numFmtId="0" fontId="3" fillId="0" borderId="0" xfId="0" applyFont="1"/>
    <xf numFmtId="9" fontId="2" fillId="0" borderId="0" xfId="1" applyFont="1"/>
    <xf numFmtId="2" fontId="3" fillId="0" borderId="0" xfId="1" applyNumberFormat="1" applyFont="1"/>
    <xf numFmtId="0" fontId="4" fillId="0" borderId="0" xfId="0" applyFont="1"/>
    <xf numFmtId="11" fontId="5" fillId="0" borderId="0" xfId="0" applyNumberFormat="1" applyFont="1"/>
    <xf numFmtId="0" fontId="5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54F69-D94D-D64A-81C5-4411182D0207}">
  <dimension ref="A3:R24"/>
  <sheetViews>
    <sheetView tabSelected="1" workbookViewId="0">
      <selection activeCell="N20" sqref="N20"/>
    </sheetView>
  </sheetViews>
  <sheetFormatPr baseColWidth="10" defaultRowHeight="16"/>
  <cols>
    <col min="10" max="10" width="13.1640625" bestFit="1" customWidth="1"/>
    <col min="16" max="16" width="13.83203125" bestFit="1" customWidth="1"/>
    <col min="17" max="17" width="13.6640625" bestFit="1" customWidth="1"/>
    <col min="18" max="18" width="13.33203125" bestFit="1" customWidth="1"/>
  </cols>
  <sheetData>
    <row r="3" spans="1:18">
      <c r="D3" s="2" t="s">
        <v>61</v>
      </c>
    </row>
    <row r="4" spans="1:18">
      <c r="A4" t="s">
        <v>0</v>
      </c>
      <c r="B4" t="s">
        <v>29</v>
      </c>
      <c r="C4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166</v>
      </c>
      <c r="P4" t="s">
        <v>68</v>
      </c>
      <c r="Q4" t="s">
        <v>69</v>
      </c>
      <c r="R4" t="s">
        <v>85</v>
      </c>
    </row>
    <row r="5" spans="1:18">
      <c r="A5">
        <v>1</v>
      </c>
      <c r="B5" s="3">
        <f>Week1!F2</f>
        <v>1.5192269382386801E-55</v>
      </c>
      <c r="C5" s="3">
        <f>Week2!F2</f>
        <v>5.6241271475019997E-35</v>
      </c>
      <c r="D5" s="3">
        <f>Week3!F2</f>
        <v>-1.58899575668444E-28</v>
      </c>
      <c r="E5" s="3">
        <f>Week4!F2</f>
        <v>-1.9365253523356699E-32</v>
      </c>
      <c r="F5" s="3">
        <f>Week5!F2</f>
        <v>0</v>
      </c>
      <c r="G5" s="3">
        <f>Week6!F2</f>
        <v>-2.4207951479406601E-51</v>
      </c>
      <c r="H5" s="3">
        <f>Week7!F2</f>
        <v>2.45415370407854E-54</v>
      </c>
      <c r="I5" s="3">
        <f>Week8!F2</f>
        <v>1.55842898547174E-23</v>
      </c>
      <c r="J5" s="3">
        <f>Week9!F2</f>
        <v>5.2647530338544495E-57</v>
      </c>
      <c r="K5" s="3">
        <f>Week10!F2</f>
        <v>1.7063022014990999E-17</v>
      </c>
      <c r="L5" s="3">
        <f>Week11!F2</f>
        <v>5.3199374410186903E-77</v>
      </c>
      <c r="M5" s="3">
        <f>Week12!F2</f>
        <v>-8.8469843398183902E-47</v>
      </c>
      <c r="N5" s="3">
        <f>Week13!F2</f>
        <v>-3.26958667099008E-6</v>
      </c>
      <c r="P5" s="3" t="str">
        <f>INDEX($B$4:$N$4, MATCH(MAX(B5:N5), B5:N5, 0))</f>
        <v>Week10</v>
      </c>
      <c r="Q5" s="3">
        <f>MAX(B5:N5)</f>
        <v>1.7063022014990999E-17</v>
      </c>
      <c r="R5" s="12" t="s">
        <v>138</v>
      </c>
    </row>
    <row r="6" spans="1:18" ht="17">
      <c r="A6">
        <v>2</v>
      </c>
      <c r="B6" s="3">
        <f>Week1!F3</f>
        <v>7.8279871043669E-2</v>
      </c>
      <c r="C6" s="3">
        <f>Week2!F3</f>
        <v>0.52398534129501795</v>
      </c>
      <c r="D6" s="3">
        <f>Week3!F3</f>
        <v>0.41440446386451901</v>
      </c>
      <c r="E6" s="3">
        <f>Week4!F3</f>
        <v>0.50731325542921302</v>
      </c>
      <c r="F6" s="3">
        <f>Week5!F3</f>
        <v>-7.8202085575153398E-3</v>
      </c>
      <c r="G6" s="3">
        <f>Week6!F3</f>
        <v>0.56924086824543896</v>
      </c>
      <c r="H6" s="3">
        <f>Week7!F3</f>
        <v>0.19283512655684401</v>
      </c>
      <c r="I6" s="3">
        <f>Week8!F3</f>
        <v>0.147156885668869</v>
      </c>
      <c r="J6" s="3">
        <f>Week9!F3</f>
        <v>0.63564435544545905</v>
      </c>
      <c r="K6" s="3">
        <f>Week10!F3</f>
        <v>0.72074952220389799</v>
      </c>
      <c r="L6" s="3">
        <f>Week11!F3</f>
        <v>0.59041015345404801</v>
      </c>
      <c r="M6" s="3">
        <f>Week12!F3</f>
        <v>0.597187708224443</v>
      </c>
      <c r="N6" s="3">
        <f>Week13!F3</f>
        <v>0.54889767782736798</v>
      </c>
      <c r="P6" s="3" t="str">
        <f t="shared" ref="P6:P12" si="0">INDEX($B$4:$N$4, MATCH(MAX(B6:N6), B6:N6, 0))</f>
        <v>Week10</v>
      </c>
      <c r="Q6" s="3">
        <f t="shared" ref="Q6:Q12" si="1">MAX(B6:N6)</f>
        <v>0.72074952220389799</v>
      </c>
      <c r="R6" s="11" t="s">
        <v>138</v>
      </c>
    </row>
    <row r="7" spans="1:18" ht="17">
      <c r="A7">
        <v>3</v>
      </c>
      <c r="B7" s="3">
        <f>Week1!F4</f>
        <v>-4.2583435652523802E-2</v>
      </c>
      <c r="C7" s="3">
        <f>Week2!F4</f>
        <v>-7.1645825427363698E-3</v>
      </c>
      <c r="D7" s="3">
        <f>Week3!F4</f>
        <v>-4.77535808487883E-2</v>
      </c>
      <c r="E7" s="3">
        <f>Week4!F4</f>
        <v>-1.64041892396753E-2</v>
      </c>
      <c r="F7" s="3">
        <f>Week5!F4</f>
        <v>-4.5776372069054702E-2</v>
      </c>
      <c r="G7" s="3">
        <f>Week6!F4</f>
        <v>-4.4074741745635797E-2</v>
      </c>
      <c r="H7" s="3">
        <f>Week7!F4</f>
        <v>-3.3040646100640003E-2</v>
      </c>
      <c r="I7" s="3">
        <f>Week8!F4</f>
        <v>-5.44952338148788E-2</v>
      </c>
      <c r="J7" s="3">
        <f>Week9!F4</f>
        <v>-2.6296009521582001E-3</v>
      </c>
      <c r="K7" s="3">
        <f>Week10!F4</f>
        <v>-2.8096226155954401E-2</v>
      </c>
      <c r="L7" s="3">
        <f>Week11!F4</f>
        <v>-2.4594206281152501E-2</v>
      </c>
      <c r="M7" s="3">
        <f>Week12!F4</f>
        <v>-2.2017116100763998E-3</v>
      </c>
      <c r="N7" s="3">
        <f>Week13!F4</f>
        <v>-3.7233804900177699E-3</v>
      </c>
      <c r="P7" s="3" t="str">
        <f t="shared" si="0"/>
        <v>Week12</v>
      </c>
      <c r="Q7" s="3">
        <f t="shared" si="1"/>
        <v>-2.2017116100763998E-3</v>
      </c>
      <c r="R7" s="11" t="s">
        <v>138</v>
      </c>
    </row>
    <row r="8" spans="1:18">
      <c r="A8">
        <v>4</v>
      </c>
      <c r="B8" s="3">
        <f>Week1!F5</f>
        <v>-0.281966339453947</v>
      </c>
      <c r="C8" s="3">
        <f>Week2!F5</f>
        <v>-2.50936323387395</v>
      </c>
      <c r="D8" s="3">
        <f>Week3!F5</f>
        <v>-2.2686705479562499</v>
      </c>
      <c r="E8" s="3">
        <f>Week4!F5</f>
        <v>-0.81146453991068301</v>
      </c>
      <c r="F8" s="3">
        <f>Week5!F5</f>
        <v>-1.5478681188544401</v>
      </c>
      <c r="G8" s="3">
        <f>Week6!F5</f>
        <v>-1.2401877238019301</v>
      </c>
      <c r="H8" s="3">
        <f>Week7!F5</f>
        <v>0.57749759425457003</v>
      </c>
      <c r="I8" s="3">
        <f>Week8!F5</f>
        <v>0.38876268954520699</v>
      </c>
      <c r="J8" s="3">
        <f>Week9!F5</f>
        <v>0.57701270290822404</v>
      </c>
      <c r="K8" s="3">
        <f>Week10!F5</f>
        <v>-1.0498889373006599</v>
      </c>
      <c r="L8" s="3">
        <f>Week11!F5</f>
        <v>0.32777233146964202</v>
      </c>
      <c r="M8" s="3">
        <f>Week12!F5</f>
        <v>-0.31259582502495598</v>
      </c>
      <c r="N8" s="3">
        <f>Week13!F5</f>
        <v>0.50649766168326205</v>
      </c>
      <c r="P8" s="3" t="str">
        <f t="shared" si="0"/>
        <v>Week7</v>
      </c>
      <c r="Q8" s="3">
        <f t="shared" si="1"/>
        <v>0.57749759425457003</v>
      </c>
      <c r="R8" t="s">
        <v>71</v>
      </c>
    </row>
    <row r="9" spans="1:18">
      <c r="A9">
        <v>5</v>
      </c>
      <c r="B9" s="3">
        <f>Week1!F6</f>
        <v>1035.78336893086</v>
      </c>
      <c r="C9" s="3">
        <f>Week2!F6</f>
        <v>1221.5705853873001</v>
      </c>
      <c r="D9" s="3">
        <f>Week3!F6</f>
        <v>2763.1361350550201</v>
      </c>
      <c r="E9" s="3">
        <f>Week4!F6</f>
        <v>1699.44147161398</v>
      </c>
      <c r="F9" s="3">
        <f>Week5!F6</f>
        <v>4021.5011695428002</v>
      </c>
      <c r="G9" s="3">
        <f>Week6!F6</f>
        <v>1938.943267221</v>
      </c>
      <c r="H9" s="3">
        <f>Week7!F6</f>
        <v>4310.9805594415402</v>
      </c>
      <c r="I9" s="3">
        <f>Week8!F6</f>
        <v>4158.7866946484401</v>
      </c>
      <c r="J9" s="3">
        <f>Week9!F6</f>
        <v>4189.1605631845196</v>
      </c>
      <c r="K9" s="3">
        <f>Week10!F6</f>
        <v>4537.8399923503803</v>
      </c>
      <c r="L9" s="3">
        <f>Week11!F6</f>
        <v>4427.0201211809099</v>
      </c>
      <c r="M9" s="3">
        <f>Week12!F6</f>
        <v>5012.3175754481999</v>
      </c>
      <c r="N9" s="3">
        <f>Week13!F6</f>
        <v>7044.7812358493502</v>
      </c>
      <c r="P9" s="3" t="str">
        <f t="shared" si="0"/>
        <v>Week13</v>
      </c>
      <c r="Q9" s="3">
        <f t="shared" si="1"/>
        <v>7044.7812358493502</v>
      </c>
      <c r="R9" t="s">
        <v>71</v>
      </c>
    </row>
    <row r="10" spans="1:18">
      <c r="A10">
        <v>6</v>
      </c>
      <c r="B10" s="3">
        <f>Week1!F7</f>
        <v>-0.74650183034008499</v>
      </c>
      <c r="C10" s="3">
        <f>Week2!F7</f>
        <v>-0.32481759704902602</v>
      </c>
      <c r="D10" s="3">
        <f>Week3!F7</f>
        <v>-0.83816374113646996</v>
      </c>
      <c r="E10" s="3">
        <f>Week4!F7</f>
        <v>-0.12430862230397099</v>
      </c>
      <c r="F10" s="3">
        <f>Week5!F7</f>
        <v>-0.22242976401612999</v>
      </c>
      <c r="G10" s="3">
        <f>Week6!F7</f>
        <v>-0.20723711476707399</v>
      </c>
      <c r="H10" s="3">
        <f>Week7!F7</f>
        <v>-0.15947669058205399</v>
      </c>
      <c r="I10" s="3">
        <f>Week8!F7</f>
        <v>-0.28274379072022199</v>
      </c>
      <c r="J10" s="3">
        <f>Week9!F7</f>
        <v>-0.14749973636875199</v>
      </c>
      <c r="K10" s="3">
        <f>Week10!F7</f>
        <v>-0.222075655316051</v>
      </c>
      <c r="L10" s="3">
        <f>Week11!F7</f>
        <v>-0.31585929101590399</v>
      </c>
      <c r="M10" s="3">
        <f>Week12!F7</f>
        <v>-0.19742098512742601</v>
      </c>
      <c r="N10" s="3">
        <f>Week13!F7</f>
        <v>-0.17949966152587599</v>
      </c>
      <c r="P10" s="3" t="str">
        <f t="shared" si="0"/>
        <v>Week4</v>
      </c>
      <c r="Q10" s="3">
        <f t="shared" si="1"/>
        <v>-0.12430862230397099</v>
      </c>
      <c r="R10" t="s">
        <v>72</v>
      </c>
    </row>
    <row r="11" spans="1:18">
      <c r="A11">
        <v>7</v>
      </c>
      <c r="B11" s="3">
        <f>Week1!F8</f>
        <v>0.62260078986399703</v>
      </c>
      <c r="C11" s="3">
        <f>Week2!F8</f>
        <v>1.51524322953832</v>
      </c>
      <c r="D11" s="3">
        <f>Week3!F8</f>
        <v>1.0711503490830101</v>
      </c>
      <c r="E11" s="3">
        <f>Week4!F8</f>
        <v>0.93367380184557403</v>
      </c>
      <c r="F11" s="3">
        <f>Week5!F8</f>
        <v>1.85974769401657</v>
      </c>
      <c r="G11" s="3">
        <f>Week6!F8</f>
        <v>1.88380795677045</v>
      </c>
      <c r="H11" s="3">
        <f>Week7!F8</f>
        <v>1.8684324311018099</v>
      </c>
      <c r="I11" s="3">
        <f>Week8!F8</f>
        <v>1.4390676532540101</v>
      </c>
      <c r="J11" s="3">
        <f>Week9!F8</f>
        <v>1.7512570814124699</v>
      </c>
      <c r="K11" s="3">
        <f>Week10!F8</f>
        <v>1.92969449721477</v>
      </c>
      <c r="L11" s="3">
        <f>Week11!F8</f>
        <v>2.2490463956487199</v>
      </c>
      <c r="M11" s="3">
        <f>Week12!F8</f>
        <v>1.7333957368055199</v>
      </c>
      <c r="N11" s="3">
        <f>Week13!F8</f>
        <v>2.0615730103248202</v>
      </c>
      <c r="P11" s="3" t="str">
        <f t="shared" si="0"/>
        <v>Week11</v>
      </c>
      <c r="Q11" s="3">
        <f t="shared" si="1"/>
        <v>2.2490463956487199</v>
      </c>
      <c r="R11" t="s">
        <v>72</v>
      </c>
    </row>
    <row r="12" spans="1:18">
      <c r="A12">
        <v>8</v>
      </c>
      <c r="B12" s="3">
        <f>Week1!F9</f>
        <v>9.9072611183611006</v>
      </c>
      <c r="C12" s="3">
        <f>Week2!F9</f>
        <v>9.5267168451680995</v>
      </c>
      <c r="D12" s="3">
        <f>Week3!F9</f>
        <v>9.6654965798450991</v>
      </c>
      <c r="E12" s="3">
        <f>Week4!F9</f>
        <v>9.9000382811173999</v>
      </c>
      <c r="F12" s="3">
        <f>Week5!F9</f>
        <v>9.9322064977795996</v>
      </c>
      <c r="G12" s="3">
        <f>Week6!F9</f>
        <v>9.9707717627203998</v>
      </c>
      <c r="H12" s="3">
        <f>Week7!F9</f>
        <v>9.9515462235145993</v>
      </c>
      <c r="I12" s="3">
        <f>Week8!F9</f>
        <v>9.9534885233509005</v>
      </c>
      <c r="J12" s="3">
        <f>Week9!F9</f>
        <v>6.4336900000000004</v>
      </c>
      <c r="K12" s="3">
        <f>Week10!F9</f>
        <v>9.9444201092011006</v>
      </c>
      <c r="L12" s="3">
        <f>Week11!F9</f>
        <v>9.9354315173545995</v>
      </c>
      <c r="M12" s="3">
        <f>Week12!F9</f>
        <v>9.9266159737059994</v>
      </c>
      <c r="N12" s="3">
        <f>Week13!F9</f>
        <v>9.9207836001636007</v>
      </c>
      <c r="P12" s="3" t="str">
        <f t="shared" si="0"/>
        <v>Week6</v>
      </c>
      <c r="Q12" s="3">
        <f t="shared" si="1"/>
        <v>9.9707717627203998</v>
      </c>
      <c r="R12" t="s">
        <v>72</v>
      </c>
    </row>
    <row r="15" spans="1:18">
      <c r="D15" s="2" t="s">
        <v>70</v>
      </c>
    </row>
    <row r="16" spans="1:18">
      <c r="A16" t="s">
        <v>0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t="s">
        <v>34</v>
      </c>
      <c r="H16" t="s">
        <v>62</v>
      </c>
      <c r="I16" t="s">
        <v>63</v>
      </c>
      <c r="J16" t="s">
        <v>64</v>
      </c>
      <c r="K16" t="s">
        <v>65</v>
      </c>
      <c r="L16" t="s">
        <v>66</v>
      </c>
      <c r="M16" t="s">
        <v>67</v>
      </c>
      <c r="N16" t="s">
        <v>166</v>
      </c>
    </row>
    <row r="17" spans="1:14" ht="34">
      <c r="A17">
        <v>1</v>
      </c>
      <c r="B17" t="s">
        <v>71</v>
      </c>
      <c r="C17" t="s">
        <v>71</v>
      </c>
      <c r="D17" t="s">
        <v>71</v>
      </c>
      <c r="E17" t="s">
        <v>72</v>
      </c>
      <c r="F17" t="s">
        <v>72</v>
      </c>
      <c r="G17" s="11" t="s">
        <v>96</v>
      </c>
      <c r="H17" s="11" t="s">
        <v>96</v>
      </c>
      <c r="I17" s="11" t="s">
        <v>96</v>
      </c>
      <c r="J17" s="11" t="s">
        <v>127</v>
      </c>
      <c r="K17" s="12" t="s">
        <v>138</v>
      </c>
      <c r="L17" s="11" t="s">
        <v>138</v>
      </c>
      <c r="M17" s="11" t="s">
        <v>138</v>
      </c>
      <c r="N17" s="11" t="s">
        <v>138</v>
      </c>
    </row>
    <row r="18" spans="1:14" ht="21" customHeight="1">
      <c r="A18">
        <v>2</v>
      </c>
      <c r="B18" t="s">
        <v>71</v>
      </c>
      <c r="C18" t="s">
        <v>71</v>
      </c>
      <c r="D18" t="s">
        <v>71</v>
      </c>
      <c r="E18" t="s">
        <v>72</v>
      </c>
      <c r="F18" t="s">
        <v>72</v>
      </c>
      <c r="G18" s="11" t="s">
        <v>96</v>
      </c>
      <c r="H18" s="11" t="s">
        <v>96</v>
      </c>
      <c r="I18" s="11" t="s">
        <v>96</v>
      </c>
      <c r="J18" s="11" t="s">
        <v>127</v>
      </c>
      <c r="K18" s="11" t="s">
        <v>138</v>
      </c>
      <c r="L18" s="11" t="s">
        <v>138</v>
      </c>
      <c r="M18" s="11" t="s">
        <v>138</v>
      </c>
      <c r="N18" s="11" t="s">
        <v>138</v>
      </c>
    </row>
    <row r="19" spans="1:14" ht="23" customHeight="1">
      <c r="A19">
        <v>3</v>
      </c>
      <c r="B19" t="s">
        <v>71</v>
      </c>
      <c r="C19" t="s">
        <v>71</v>
      </c>
      <c r="D19" t="s">
        <v>71</v>
      </c>
      <c r="E19" t="s">
        <v>72</v>
      </c>
      <c r="F19" t="s">
        <v>72</v>
      </c>
      <c r="G19" s="11" t="s">
        <v>96</v>
      </c>
      <c r="H19" s="11" t="s">
        <v>96</v>
      </c>
      <c r="I19" s="11" t="s">
        <v>96</v>
      </c>
      <c r="J19" s="11" t="s">
        <v>127</v>
      </c>
      <c r="K19" s="11" t="s">
        <v>138</v>
      </c>
      <c r="L19" s="11" t="s">
        <v>138</v>
      </c>
      <c r="M19" s="11" t="s">
        <v>138</v>
      </c>
      <c r="N19" s="11" t="s">
        <v>138</v>
      </c>
    </row>
    <row r="20" spans="1:14" ht="68">
      <c r="A20">
        <v>4</v>
      </c>
      <c r="B20" t="s">
        <v>71</v>
      </c>
      <c r="C20" t="s">
        <v>71</v>
      </c>
      <c r="D20" t="s">
        <v>71</v>
      </c>
      <c r="E20" t="s">
        <v>72</v>
      </c>
      <c r="F20" s="8" t="s">
        <v>82</v>
      </c>
      <c r="G20" s="11" t="s">
        <v>96</v>
      </c>
      <c r="H20" s="11" t="s">
        <v>96</v>
      </c>
      <c r="I20" s="11" t="s">
        <v>96</v>
      </c>
      <c r="J20" s="11" t="s">
        <v>127</v>
      </c>
      <c r="K20" s="12" t="s">
        <v>71</v>
      </c>
      <c r="L20" s="11" t="s">
        <v>138</v>
      </c>
      <c r="M20" s="11" t="s">
        <v>135</v>
      </c>
      <c r="N20" s="11" t="s">
        <v>135</v>
      </c>
    </row>
    <row r="21" spans="1:14" s="12" customFormat="1" ht="68">
      <c r="A21" s="12">
        <v>5</v>
      </c>
      <c r="B21" s="12" t="s">
        <v>71</v>
      </c>
      <c r="C21" s="12" t="s">
        <v>71</v>
      </c>
      <c r="D21" s="12" t="s">
        <v>71</v>
      </c>
      <c r="E21" s="12" t="s">
        <v>72</v>
      </c>
      <c r="F21" s="13" t="s">
        <v>82</v>
      </c>
      <c r="G21" s="12" t="s">
        <v>72</v>
      </c>
      <c r="H21" s="14" t="s">
        <v>96</v>
      </c>
      <c r="I21" s="11" t="s">
        <v>96</v>
      </c>
      <c r="J21" s="11" t="s">
        <v>127</v>
      </c>
      <c r="K21" s="12" t="s">
        <v>71</v>
      </c>
      <c r="L21" s="12" t="s">
        <v>71</v>
      </c>
      <c r="M21" s="11" t="s">
        <v>135</v>
      </c>
      <c r="N21" s="11" t="s">
        <v>135</v>
      </c>
    </row>
    <row r="22" spans="1:14" ht="17">
      <c r="A22">
        <v>6</v>
      </c>
      <c r="B22" t="s">
        <v>71</v>
      </c>
      <c r="C22" t="s">
        <v>71</v>
      </c>
      <c r="D22" t="s">
        <v>71</v>
      </c>
      <c r="E22" t="s">
        <v>72</v>
      </c>
      <c r="F22" t="s">
        <v>72</v>
      </c>
      <c r="G22" t="s">
        <v>72</v>
      </c>
      <c r="H22" t="s">
        <v>72</v>
      </c>
      <c r="I22" s="11" t="s">
        <v>72</v>
      </c>
      <c r="J22" s="11" t="s">
        <v>127</v>
      </c>
      <c r="K22" t="s">
        <v>72</v>
      </c>
      <c r="L22" t="s">
        <v>72</v>
      </c>
      <c r="M22" t="s">
        <v>72</v>
      </c>
      <c r="N22" t="s">
        <v>72</v>
      </c>
    </row>
    <row r="23" spans="1:14" ht="17">
      <c r="A23">
        <v>7</v>
      </c>
      <c r="B23" t="s">
        <v>71</v>
      </c>
      <c r="C23" t="s">
        <v>71</v>
      </c>
      <c r="D23" t="s">
        <v>71</v>
      </c>
      <c r="E23" t="s">
        <v>72</v>
      </c>
      <c r="F23" t="s">
        <v>72</v>
      </c>
      <c r="G23" t="s">
        <v>72</v>
      </c>
      <c r="H23" t="s">
        <v>72</v>
      </c>
      <c r="I23" s="11" t="s">
        <v>72</v>
      </c>
      <c r="J23" s="11" t="s">
        <v>129</v>
      </c>
      <c r="K23" t="s">
        <v>72</v>
      </c>
      <c r="L23" t="s">
        <v>72</v>
      </c>
      <c r="M23" t="s">
        <v>72</v>
      </c>
      <c r="N23" t="s">
        <v>72</v>
      </c>
    </row>
    <row r="24" spans="1:14" ht="17">
      <c r="A24">
        <v>8</v>
      </c>
      <c r="B24" t="s">
        <v>71</v>
      </c>
      <c r="C24" t="s">
        <v>71</v>
      </c>
      <c r="D24" t="s">
        <v>71</v>
      </c>
      <c r="E24" t="s">
        <v>72</v>
      </c>
      <c r="F24" t="s">
        <v>72</v>
      </c>
      <c r="G24" t="s">
        <v>72</v>
      </c>
      <c r="H24" t="s">
        <v>72</v>
      </c>
      <c r="I24" s="11" t="s">
        <v>72</v>
      </c>
      <c r="J24" s="11" t="s">
        <v>129</v>
      </c>
      <c r="K24" t="s">
        <v>72</v>
      </c>
      <c r="L24" t="s">
        <v>72</v>
      </c>
      <c r="M24" t="s">
        <v>72</v>
      </c>
      <c r="N24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24D0-3EE8-574E-B469-EA462702BA66}">
  <dimension ref="A1:G9"/>
  <sheetViews>
    <sheetView topLeftCell="C1" workbookViewId="0">
      <selection activeCell="G1" sqref="G1:G1048576"/>
    </sheetView>
  </sheetViews>
  <sheetFormatPr baseColWidth="10" defaultRowHeight="16"/>
  <cols>
    <col min="3" max="3" width="92" customWidth="1"/>
    <col min="4" max="4" width="61.1640625" customWidth="1"/>
    <col min="5" max="5" width="28" bestFit="1" customWidth="1"/>
    <col min="6" max="6" width="19" bestFit="1" customWidth="1"/>
  </cols>
  <sheetData>
    <row r="1" spans="1:7">
      <c r="A1" t="s">
        <v>35</v>
      </c>
      <c r="B1" t="s">
        <v>0</v>
      </c>
      <c r="C1" t="s">
        <v>1</v>
      </c>
      <c r="D1" t="s">
        <v>37</v>
      </c>
      <c r="E1" s="2" t="s">
        <v>14</v>
      </c>
      <c r="F1" s="2" t="s">
        <v>15</v>
      </c>
    </row>
    <row r="2" spans="1:7" ht="18">
      <c r="A2">
        <v>1</v>
      </c>
      <c r="B2">
        <v>1</v>
      </c>
      <c r="C2" t="s">
        <v>2</v>
      </c>
      <c r="D2" t="s">
        <v>38</v>
      </c>
      <c r="E2">
        <v>7.7108751145028402E-16</v>
      </c>
      <c r="F2" s="4">
        <v>1.5192269382386801E-55</v>
      </c>
      <c r="G2" s="3"/>
    </row>
    <row r="3" spans="1:7" ht="18">
      <c r="A3">
        <v>2</v>
      </c>
      <c r="B3">
        <v>2</v>
      </c>
      <c r="C3" t="s">
        <v>3</v>
      </c>
      <c r="D3" t="s">
        <v>38</v>
      </c>
      <c r="E3">
        <v>0.611205</v>
      </c>
      <c r="F3" s="5">
        <v>7.8279871043669E-2</v>
      </c>
    </row>
    <row r="4" spans="1:7" ht="18">
      <c r="A4">
        <v>3</v>
      </c>
      <c r="B4">
        <v>3</v>
      </c>
      <c r="C4" t="s">
        <v>4</v>
      </c>
      <c r="D4" t="s">
        <v>38</v>
      </c>
      <c r="E4">
        <v>-3.4834999999999998E-2</v>
      </c>
      <c r="F4" s="5">
        <v>-4.2583435652523802E-2</v>
      </c>
    </row>
    <row r="5" spans="1:7" ht="18">
      <c r="A5">
        <v>4</v>
      </c>
      <c r="B5">
        <v>4</v>
      </c>
      <c r="C5" t="s">
        <v>6</v>
      </c>
      <c r="D5" t="s">
        <v>5</v>
      </c>
      <c r="E5">
        <v>-4.0255419999999997</v>
      </c>
      <c r="F5" s="5">
        <v>-0.281966339453947</v>
      </c>
    </row>
    <row r="6" spans="1:7" ht="18">
      <c r="A6">
        <v>5</v>
      </c>
      <c r="B6">
        <v>5</v>
      </c>
      <c r="C6" t="s">
        <v>7</v>
      </c>
      <c r="D6" t="s">
        <v>5</v>
      </c>
      <c r="E6">
        <v>1088.8499999999999</v>
      </c>
      <c r="F6" s="5">
        <v>1035.78336893086</v>
      </c>
    </row>
    <row r="7" spans="1:7" ht="102">
      <c r="A7">
        <v>6</v>
      </c>
      <c r="B7">
        <v>6</v>
      </c>
      <c r="C7" t="s">
        <v>9</v>
      </c>
      <c r="D7" s="1" t="s">
        <v>8</v>
      </c>
      <c r="E7">
        <v>-0.71426400000000001</v>
      </c>
      <c r="F7" s="5">
        <v>-0.74650183034008499</v>
      </c>
    </row>
    <row r="8" spans="1:7" ht="51">
      <c r="A8">
        <v>7</v>
      </c>
      <c r="B8">
        <v>7</v>
      </c>
      <c r="C8" t="s">
        <v>11</v>
      </c>
      <c r="D8" s="1" t="s">
        <v>10</v>
      </c>
      <c r="E8">
        <v>1.364968</v>
      </c>
      <c r="F8" s="5">
        <v>0.62260078986399703</v>
      </c>
    </row>
    <row r="9" spans="1:7" ht="18">
      <c r="A9">
        <v>8</v>
      </c>
      <c r="B9">
        <v>8</v>
      </c>
      <c r="C9" t="s">
        <v>13</v>
      </c>
      <c r="D9" t="s">
        <v>12</v>
      </c>
      <c r="E9">
        <v>9.5984820000000006</v>
      </c>
      <c r="F9" s="5">
        <v>9.9072611183611006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22E2-B3A8-2649-8279-1E422A0E6F01}">
  <dimension ref="A1:F9"/>
  <sheetViews>
    <sheetView topLeftCell="C1" workbookViewId="0">
      <selection activeCell="G1" sqref="G1:G1048576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</cols>
  <sheetData>
    <row r="1" spans="1:6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</row>
    <row r="2" spans="1:6" ht="18">
      <c r="A2">
        <v>1</v>
      </c>
      <c r="B2">
        <v>1</v>
      </c>
      <c r="C2" t="s">
        <v>17</v>
      </c>
      <c r="D2" s="8" t="s">
        <v>38</v>
      </c>
      <c r="E2" s="3">
        <v>7.7108751145028402E-16</v>
      </c>
      <c r="F2" s="4">
        <v>5.6241271475019997E-35</v>
      </c>
    </row>
    <row r="3" spans="1:6" ht="18">
      <c r="A3">
        <v>2</v>
      </c>
      <c r="B3">
        <v>2</v>
      </c>
      <c r="C3" t="s">
        <v>18</v>
      </c>
      <c r="D3" s="8" t="s">
        <v>38</v>
      </c>
      <c r="E3">
        <v>0.61120521576144304</v>
      </c>
      <c r="F3" s="5">
        <v>0.52398534129501795</v>
      </c>
    </row>
    <row r="4" spans="1:6" ht="18">
      <c r="A4">
        <v>3</v>
      </c>
      <c r="B4">
        <v>3</v>
      </c>
      <c r="C4" t="s">
        <v>19</v>
      </c>
      <c r="D4" s="8" t="s">
        <v>38</v>
      </c>
      <c r="E4">
        <v>-3.4835313350078501E-2</v>
      </c>
      <c r="F4" s="5">
        <v>-7.1645825427363698E-3</v>
      </c>
    </row>
    <row r="5" spans="1:6" ht="18">
      <c r="A5">
        <v>4</v>
      </c>
      <c r="B5">
        <v>4</v>
      </c>
      <c r="C5" t="s">
        <v>21</v>
      </c>
      <c r="D5" t="s">
        <v>20</v>
      </c>
      <c r="E5">
        <v>-4.0255422819081597</v>
      </c>
      <c r="F5" s="5">
        <v>-2.50936323387395</v>
      </c>
    </row>
    <row r="6" spans="1:6" ht="18">
      <c r="A6">
        <v>5</v>
      </c>
      <c r="B6">
        <v>5</v>
      </c>
      <c r="C6" t="s">
        <v>22</v>
      </c>
      <c r="D6" t="s">
        <v>20</v>
      </c>
      <c r="E6">
        <v>1088.85961</v>
      </c>
      <c r="F6" s="5">
        <v>1221.5705853873001</v>
      </c>
    </row>
    <row r="7" spans="1:6" ht="18">
      <c r="A7">
        <v>6</v>
      </c>
      <c r="B7">
        <v>6</v>
      </c>
      <c r="C7" t="s">
        <v>26</v>
      </c>
      <c r="D7" s="1" t="s">
        <v>23</v>
      </c>
      <c r="E7">
        <v>-0.71426494782023997</v>
      </c>
      <c r="F7" s="5">
        <v>-0.32481759704902602</v>
      </c>
    </row>
    <row r="8" spans="1:6" ht="18">
      <c r="A8">
        <v>7</v>
      </c>
      <c r="B8">
        <v>7</v>
      </c>
      <c r="C8" t="s">
        <v>25</v>
      </c>
      <c r="D8" s="1" t="s">
        <v>24</v>
      </c>
      <c r="E8">
        <v>1.36496830449919</v>
      </c>
      <c r="F8" s="5">
        <v>1.51524322953832</v>
      </c>
    </row>
    <row r="9" spans="1:6" ht="18">
      <c r="A9">
        <v>8</v>
      </c>
      <c r="B9">
        <v>8</v>
      </c>
      <c r="C9" t="s">
        <v>28</v>
      </c>
      <c r="D9" t="s">
        <v>27</v>
      </c>
      <c r="E9">
        <v>9.9072611179999992</v>
      </c>
      <c r="F9" s="5">
        <v>9.5267168451680995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AD462-19A3-004F-A7F1-8786013673B4}">
  <dimension ref="A1:F9"/>
  <sheetViews>
    <sheetView topLeftCell="C1" workbookViewId="0">
      <selection activeCell="G1" sqref="G1:H1048576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</cols>
  <sheetData>
    <row r="1" spans="1:6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</row>
    <row r="2" spans="1:6" ht="18">
      <c r="A2">
        <v>1</v>
      </c>
      <c r="B2">
        <v>1</v>
      </c>
      <c r="C2" t="s">
        <v>40</v>
      </c>
      <c r="D2" s="8" t="s">
        <v>39</v>
      </c>
      <c r="E2">
        <v>7.7108751145028402E-16</v>
      </c>
      <c r="F2" s="4">
        <v>-1.58899575668444E-28</v>
      </c>
    </row>
    <row r="3" spans="1:6" ht="18">
      <c r="A3">
        <v>2</v>
      </c>
      <c r="B3">
        <v>2</v>
      </c>
      <c r="C3" t="s">
        <v>41</v>
      </c>
      <c r="D3" s="8" t="s">
        <v>42</v>
      </c>
      <c r="E3">
        <v>0.61120521576144304</v>
      </c>
      <c r="F3" s="5">
        <v>0.41440446386451901</v>
      </c>
    </row>
    <row r="4" spans="1:6" ht="18">
      <c r="A4">
        <v>3</v>
      </c>
      <c r="B4">
        <v>3</v>
      </c>
      <c r="C4" t="s">
        <v>43</v>
      </c>
      <c r="D4" s="8" t="s">
        <v>42</v>
      </c>
      <c r="E4">
        <v>-7.1645825427363698E-3</v>
      </c>
      <c r="F4" s="5">
        <v>-4.77535808487883E-2</v>
      </c>
    </row>
    <row r="5" spans="1:6" ht="18">
      <c r="A5">
        <v>4</v>
      </c>
      <c r="B5">
        <v>4</v>
      </c>
      <c r="C5" t="s">
        <v>45</v>
      </c>
      <c r="D5" t="s">
        <v>44</v>
      </c>
      <c r="E5">
        <v>-4.0255422819081597</v>
      </c>
      <c r="F5" s="5">
        <v>-2.2686705479562499</v>
      </c>
    </row>
    <row r="6" spans="1:6" ht="18">
      <c r="A6">
        <v>5</v>
      </c>
      <c r="B6">
        <v>5</v>
      </c>
      <c r="C6" t="s">
        <v>46</v>
      </c>
      <c r="D6" t="s">
        <v>44</v>
      </c>
      <c r="E6">
        <v>1221.5705853873001</v>
      </c>
      <c r="F6" s="5">
        <v>2763.1361350550201</v>
      </c>
    </row>
    <row r="7" spans="1:6" ht="18">
      <c r="A7">
        <v>6</v>
      </c>
      <c r="B7">
        <v>6</v>
      </c>
      <c r="C7" t="s">
        <v>47</v>
      </c>
      <c r="D7" t="s">
        <v>44</v>
      </c>
      <c r="E7">
        <v>-0.32481759704902602</v>
      </c>
      <c r="F7" s="5">
        <v>-0.83816374113646996</v>
      </c>
    </row>
    <row r="8" spans="1:6" ht="18">
      <c r="A8">
        <v>7</v>
      </c>
      <c r="B8">
        <v>7</v>
      </c>
      <c r="C8" t="s">
        <v>48</v>
      </c>
      <c r="D8" t="s">
        <v>44</v>
      </c>
      <c r="E8">
        <v>1.51524322953832</v>
      </c>
      <c r="F8" s="5">
        <v>1.0711503490830101</v>
      </c>
    </row>
    <row r="9" spans="1:6" ht="18">
      <c r="A9">
        <v>8</v>
      </c>
      <c r="B9">
        <v>8</v>
      </c>
      <c r="C9" t="s">
        <v>50</v>
      </c>
      <c r="D9" t="s">
        <v>49</v>
      </c>
      <c r="E9">
        <v>9.9072611179999992</v>
      </c>
      <c r="F9" s="5">
        <v>9.6654965798450991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BEF5-188E-484A-A36F-5FEF19FCEA60}">
  <dimension ref="A1:G9"/>
  <sheetViews>
    <sheetView topLeftCell="C1" workbookViewId="0">
      <selection activeCell="G2" sqref="G2:G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62.8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18">
      <c r="A2">
        <v>1</v>
      </c>
      <c r="B2">
        <v>1</v>
      </c>
      <c r="C2" t="s">
        <v>51</v>
      </c>
      <c r="D2" s="8" t="s">
        <v>53</v>
      </c>
      <c r="E2">
        <v>7.7108751145028402E-16</v>
      </c>
      <c r="F2" s="4">
        <v>-1.9365253523356699E-32</v>
      </c>
      <c r="G2" s="4">
        <v>-1.8030313221813401E-3</v>
      </c>
    </row>
    <row r="3" spans="1:7" ht="18">
      <c r="A3">
        <v>2</v>
      </c>
      <c r="B3">
        <v>2</v>
      </c>
      <c r="C3" t="s">
        <v>54</v>
      </c>
      <c r="D3" s="8" t="s">
        <v>53</v>
      </c>
      <c r="E3">
        <v>0.61120521576144304</v>
      </c>
      <c r="F3" s="5">
        <v>0.50731325542921302</v>
      </c>
      <c r="G3" s="4">
        <v>0.46072066333868</v>
      </c>
    </row>
    <row r="4" spans="1:7" ht="18">
      <c r="A4">
        <v>3</v>
      </c>
      <c r="B4">
        <v>3</v>
      </c>
      <c r="C4" t="s">
        <v>55</v>
      </c>
      <c r="D4" s="8" t="s">
        <v>53</v>
      </c>
      <c r="E4">
        <v>-7.1645825427363698E-3</v>
      </c>
      <c r="F4" s="5">
        <v>-1.64041892396753E-2</v>
      </c>
      <c r="G4" s="4">
        <v>-9.7433678380296096E-2</v>
      </c>
    </row>
    <row r="5" spans="1:7" ht="18">
      <c r="A5">
        <v>4</v>
      </c>
      <c r="B5">
        <v>4</v>
      </c>
      <c r="C5" t="s">
        <v>56</v>
      </c>
      <c r="D5" s="8" t="s">
        <v>53</v>
      </c>
      <c r="E5">
        <v>-4.0255422819081597</v>
      </c>
      <c r="F5" s="5">
        <v>-0.81146453991068301</v>
      </c>
      <c r="G5" s="4">
        <v>-10.4785092215352</v>
      </c>
    </row>
    <row r="6" spans="1:7" ht="18">
      <c r="A6">
        <v>5</v>
      </c>
      <c r="B6">
        <v>5</v>
      </c>
      <c r="C6" t="s">
        <v>57</v>
      </c>
      <c r="D6" s="8" t="s">
        <v>53</v>
      </c>
      <c r="E6">
        <v>2763.1361350550201</v>
      </c>
      <c r="F6" s="5">
        <v>1699.44147161398</v>
      </c>
      <c r="G6" s="4">
        <v>71.1123335074561</v>
      </c>
    </row>
    <row r="7" spans="1:7" ht="18">
      <c r="A7">
        <v>6</v>
      </c>
      <c r="B7">
        <v>6</v>
      </c>
      <c r="C7" t="s">
        <v>58</v>
      </c>
      <c r="D7" s="8" t="s">
        <v>53</v>
      </c>
      <c r="E7">
        <v>-0.32481759704902602</v>
      </c>
      <c r="F7" s="5">
        <v>-0.12430862230397099</v>
      </c>
      <c r="G7" s="4">
        <v>-0.39794817050921</v>
      </c>
    </row>
    <row r="8" spans="1:7" ht="18">
      <c r="A8">
        <v>7</v>
      </c>
      <c r="B8">
        <v>7</v>
      </c>
      <c r="C8" t="s">
        <v>59</v>
      </c>
      <c r="D8" s="8" t="s">
        <v>53</v>
      </c>
      <c r="E8">
        <v>1.51524322953832</v>
      </c>
      <c r="F8" s="5">
        <v>0.93367380184557403</v>
      </c>
      <c r="G8" s="4">
        <v>1.21964629028306</v>
      </c>
    </row>
    <row r="9" spans="1:7" ht="18">
      <c r="A9">
        <v>8</v>
      </c>
      <c r="B9">
        <v>8</v>
      </c>
      <c r="C9" t="s">
        <v>60</v>
      </c>
      <c r="D9" s="8" t="s">
        <v>53</v>
      </c>
      <c r="E9">
        <v>9.9072611179999992</v>
      </c>
      <c r="F9" s="5">
        <v>9.9000382811173999</v>
      </c>
      <c r="G9" s="4">
        <v>10.4134816973233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F3468-E5E2-7948-A4E1-947E6B8EE90D}">
  <dimension ref="A1:G35"/>
  <sheetViews>
    <sheetView topLeftCell="C1" workbookViewId="0">
      <selection activeCell="G2" sqref="G2:G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18">
      <c r="A2">
        <v>1</v>
      </c>
      <c r="B2">
        <v>1</v>
      </c>
      <c r="C2" s="8" t="s">
        <v>73</v>
      </c>
      <c r="D2" s="8" t="s">
        <v>77</v>
      </c>
      <c r="E2" s="8">
        <v>7.7108751145028402E-16</v>
      </c>
      <c r="F2" s="5">
        <v>0</v>
      </c>
      <c r="G2" s="5">
        <v>-1.8030313221813401E-3</v>
      </c>
    </row>
    <row r="3" spans="1:7" ht="18">
      <c r="A3">
        <v>2</v>
      </c>
      <c r="B3">
        <v>2</v>
      </c>
      <c r="C3" s="8" t="s">
        <v>74</v>
      </c>
      <c r="D3" s="8" t="s">
        <v>77</v>
      </c>
      <c r="E3" s="8">
        <v>0.61120521576144304</v>
      </c>
      <c r="F3" s="5">
        <v>-7.8202085575153398E-3</v>
      </c>
      <c r="G3" s="5">
        <v>0.68333209087795699</v>
      </c>
    </row>
    <row r="4" spans="1:7" ht="18">
      <c r="A4">
        <v>3</v>
      </c>
      <c r="B4">
        <v>3</v>
      </c>
      <c r="C4" s="8" t="s">
        <v>75</v>
      </c>
      <c r="D4" s="8" t="s">
        <v>77</v>
      </c>
      <c r="E4" s="8">
        <v>-7.1645825427363698E-3</v>
      </c>
      <c r="F4" s="5">
        <v>-4.5776372069054702E-2</v>
      </c>
      <c r="G4" s="5">
        <v>-9.8524768373733695E-2</v>
      </c>
    </row>
    <row r="5" spans="1:7" ht="18">
      <c r="A5">
        <v>4</v>
      </c>
      <c r="B5">
        <v>4</v>
      </c>
      <c r="C5" s="8" t="s">
        <v>80</v>
      </c>
      <c r="D5" s="8" t="s">
        <v>82</v>
      </c>
      <c r="E5" s="8">
        <v>-0.28196633900000001</v>
      </c>
      <c r="F5" s="5">
        <v>-1.5478681188544401</v>
      </c>
      <c r="G5" s="5">
        <v>-2.6775999454187599E-2</v>
      </c>
    </row>
    <row r="6" spans="1:7" ht="18">
      <c r="A6">
        <v>5</v>
      </c>
      <c r="B6">
        <v>5</v>
      </c>
      <c r="C6" s="8" t="s">
        <v>81</v>
      </c>
      <c r="D6" s="8" t="s">
        <v>82</v>
      </c>
      <c r="E6" s="8">
        <v>2763.1361350550201</v>
      </c>
      <c r="F6" s="5">
        <v>4021.5011695428002</v>
      </c>
      <c r="G6" s="5">
        <v>2749.3105785207699</v>
      </c>
    </row>
    <row r="7" spans="1:7" ht="18">
      <c r="A7">
        <v>6</v>
      </c>
      <c r="B7">
        <v>6</v>
      </c>
      <c r="C7" s="8" t="s">
        <v>83</v>
      </c>
      <c r="D7" s="8" t="s">
        <v>77</v>
      </c>
      <c r="E7" s="8">
        <v>-0.12430862230397099</v>
      </c>
      <c r="F7" s="5">
        <v>-0.22242976401612999</v>
      </c>
      <c r="G7" s="5">
        <v>-0.22304319416696899</v>
      </c>
    </row>
    <row r="8" spans="1:7" ht="18">
      <c r="A8">
        <v>7</v>
      </c>
      <c r="B8">
        <v>7</v>
      </c>
      <c r="C8" s="8" t="s">
        <v>76</v>
      </c>
      <c r="D8" s="8" t="s">
        <v>77</v>
      </c>
      <c r="E8" s="8">
        <v>1.51524322953832</v>
      </c>
      <c r="F8" s="5">
        <v>1.85974769401657</v>
      </c>
      <c r="G8" s="5">
        <v>1.60727577099476</v>
      </c>
    </row>
    <row r="9" spans="1:7" ht="18">
      <c r="A9">
        <v>8</v>
      </c>
      <c r="B9">
        <v>8</v>
      </c>
      <c r="C9" s="8" t="s">
        <v>78</v>
      </c>
      <c r="D9" s="8" t="s">
        <v>77</v>
      </c>
      <c r="E9" s="8">
        <v>9.9072611179999992</v>
      </c>
      <c r="F9" s="5">
        <v>9.9322064977795996</v>
      </c>
      <c r="G9" s="5">
        <v>10.097162529346001</v>
      </c>
    </row>
    <row r="13" spans="1:7">
      <c r="E13" s="2"/>
      <c r="F13" s="2"/>
      <c r="G13" s="2"/>
    </row>
    <row r="14" spans="1:7" ht="18">
      <c r="C14" s="10"/>
      <c r="D14" s="8"/>
      <c r="E14" s="9"/>
      <c r="F14" s="4"/>
      <c r="G14" s="10"/>
    </row>
    <row r="15" spans="1:7" ht="18">
      <c r="C15" s="10"/>
      <c r="D15" s="8"/>
      <c r="E15" s="10"/>
      <c r="F15" s="5"/>
      <c r="G15" s="10"/>
    </row>
    <row r="16" spans="1:7" ht="18">
      <c r="C16" s="10"/>
      <c r="D16" s="8"/>
      <c r="E16" s="10"/>
      <c r="F16" s="5"/>
      <c r="G16" s="10"/>
    </row>
    <row r="17" spans="3:7" ht="18">
      <c r="C17" s="10"/>
      <c r="D17" s="8"/>
      <c r="E17" s="10"/>
      <c r="F17" s="5"/>
      <c r="G17" s="10"/>
    </row>
    <row r="18" spans="3:7" ht="18">
      <c r="C18" s="10"/>
      <c r="D18" s="8"/>
      <c r="E18" s="10"/>
      <c r="F18" s="5"/>
      <c r="G18" s="10"/>
    </row>
    <row r="19" spans="3:7" ht="18">
      <c r="C19" s="10"/>
      <c r="D19" s="8"/>
      <c r="E19" s="10"/>
      <c r="F19" s="5"/>
      <c r="G19" s="10"/>
    </row>
    <row r="20" spans="3:7" ht="18">
      <c r="C20" s="10"/>
      <c r="D20" s="8"/>
      <c r="E20" s="10"/>
      <c r="F20" s="5"/>
      <c r="G20" s="10"/>
    </row>
    <row r="21" spans="3:7" ht="18">
      <c r="C21" s="10"/>
      <c r="D21" s="8"/>
      <c r="E21" s="10"/>
      <c r="F21" s="5"/>
      <c r="G21" s="10"/>
    </row>
    <row r="27" spans="3:7">
      <c r="E27" s="2"/>
      <c r="F27" s="2"/>
      <c r="G27" s="2"/>
    </row>
    <row r="28" spans="3:7" ht="18">
      <c r="C28" s="10"/>
      <c r="D28" s="8"/>
      <c r="E28" s="9"/>
      <c r="F28" s="4"/>
      <c r="G28" s="10"/>
    </row>
    <row r="29" spans="3:7" ht="18">
      <c r="C29" s="10"/>
      <c r="D29" s="8"/>
      <c r="E29" s="10"/>
      <c r="F29" s="5"/>
      <c r="G29" s="10"/>
    </row>
    <row r="30" spans="3:7" ht="18">
      <c r="C30" s="10"/>
      <c r="D30" s="8"/>
      <c r="E30" s="10"/>
      <c r="F30" s="5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FCE3-7C45-FE4A-B4D9-58BBD0759169}">
  <dimension ref="A1:G35"/>
  <sheetViews>
    <sheetView topLeftCell="C1" workbookViewId="0">
      <selection activeCell="E3" sqref="E3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51">
      <c r="A2">
        <v>1</v>
      </c>
      <c r="B2">
        <v>1</v>
      </c>
      <c r="C2" s="11" t="s">
        <v>87</v>
      </c>
      <c r="D2" s="11" t="s">
        <v>84</v>
      </c>
      <c r="E2" s="11">
        <v>7.7108751145028402E-16</v>
      </c>
      <c r="F2" s="4">
        <v>-2.4207951479406601E-51</v>
      </c>
      <c r="G2" s="10"/>
    </row>
    <row r="3" spans="1:7" ht="18">
      <c r="A3">
        <v>2</v>
      </c>
      <c r="B3">
        <v>2</v>
      </c>
      <c r="C3" s="11" t="s">
        <v>88</v>
      </c>
      <c r="D3" s="8" t="s">
        <v>86</v>
      </c>
      <c r="E3" s="11">
        <v>0.61120521576144304</v>
      </c>
      <c r="F3" s="5">
        <v>0.56924086824543896</v>
      </c>
      <c r="G3" s="10"/>
    </row>
    <row r="4" spans="1:7" ht="18">
      <c r="A4">
        <v>3</v>
      </c>
      <c r="B4">
        <v>3</v>
      </c>
      <c r="C4" s="11" t="s">
        <v>89</v>
      </c>
      <c r="D4" s="8" t="s">
        <v>86</v>
      </c>
      <c r="E4" s="11">
        <v>-7.1645825427363698E-3</v>
      </c>
      <c r="F4" s="5">
        <v>-4.4074741745635797E-2</v>
      </c>
      <c r="G4" s="10"/>
    </row>
    <row r="5" spans="1:7" ht="18">
      <c r="A5">
        <v>4</v>
      </c>
      <c r="B5">
        <v>4</v>
      </c>
      <c r="C5" s="11" t="s">
        <v>94</v>
      </c>
      <c r="D5" s="8" t="s">
        <v>86</v>
      </c>
      <c r="E5" s="11">
        <v>-0.28196633900000001</v>
      </c>
      <c r="F5" s="5">
        <v>-1.2401877238019301</v>
      </c>
      <c r="G5" s="10"/>
    </row>
    <row r="6" spans="1:7" ht="18">
      <c r="A6">
        <v>5</v>
      </c>
      <c r="B6">
        <v>5</v>
      </c>
      <c r="C6" s="11" t="s">
        <v>90</v>
      </c>
      <c r="D6" s="8" t="s">
        <v>93</v>
      </c>
      <c r="E6" s="11">
        <v>4021.5011695428002</v>
      </c>
      <c r="F6" s="5">
        <v>1938.943267221</v>
      </c>
      <c r="G6" s="10"/>
    </row>
    <row r="7" spans="1:7" ht="18">
      <c r="A7">
        <v>6</v>
      </c>
      <c r="B7">
        <v>6</v>
      </c>
      <c r="C7" s="11" t="s">
        <v>91</v>
      </c>
      <c r="D7" s="8" t="s">
        <v>93</v>
      </c>
      <c r="E7" s="11">
        <v>-0.12430862230397099</v>
      </c>
      <c r="F7" s="5">
        <v>-0.20723711476707399</v>
      </c>
      <c r="G7" s="10"/>
    </row>
    <row r="8" spans="1:7" ht="18">
      <c r="A8">
        <v>7</v>
      </c>
      <c r="B8">
        <v>7</v>
      </c>
      <c r="C8" s="11" t="s">
        <v>92</v>
      </c>
      <c r="D8" s="8" t="s">
        <v>93</v>
      </c>
      <c r="E8" s="11">
        <v>1.85974769401657</v>
      </c>
      <c r="F8" s="5">
        <v>1.88380795677045</v>
      </c>
      <c r="G8" s="10"/>
    </row>
    <row r="9" spans="1:7" ht="18">
      <c r="A9">
        <v>8</v>
      </c>
      <c r="B9">
        <v>8</v>
      </c>
      <c r="C9" s="11" t="s">
        <v>95</v>
      </c>
      <c r="D9" s="8" t="s">
        <v>93</v>
      </c>
      <c r="E9" s="11">
        <v>9.9322064977795996</v>
      </c>
      <c r="F9" s="5">
        <v>9.9707717627203998</v>
      </c>
      <c r="G9" s="10"/>
    </row>
    <row r="13" spans="1:7">
      <c r="E13" s="2"/>
      <c r="F13" s="2"/>
      <c r="G13" s="2"/>
    </row>
    <row r="14" spans="1:7" ht="18">
      <c r="C14" s="10"/>
      <c r="D14" s="11"/>
      <c r="E14" s="9"/>
      <c r="F14" s="4"/>
      <c r="G14" s="10"/>
    </row>
    <row r="15" spans="1:7" ht="18">
      <c r="C15" s="10"/>
      <c r="D15" s="8"/>
      <c r="E15" s="10"/>
      <c r="F15" s="5"/>
      <c r="G15" s="10"/>
    </row>
    <row r="16" spans="1:7" ht="18">
      <c r="C16" s="10"/>
      <c r="D16" s="8"/>
      <c r="E16" s="10"/>
      <c r="F16" s="5"/>
      <c r="G16" s="10"/>
    </row>
    <row r="17" spans="3:7" ht="18">
      <c r="C17" s="10"/>
      <c r="D17" s="8"/>
      <c r="E17" s="10"/>
      <c r="F17" s="5"/>
      <c r="G17" s="10"/>
    </row>
    <row r="18" spans="3:7" ht="18">
      <c r="C18" s="10"/>
      <c r="D18" s="8"/>
      <c r="E18" s="10"/>
      <c r="F18" s="5"/>
      <c r="G18" s="10"/>
    </row>
    <row r="19" spans="3:7" ht="18">
      <c r="C19" s="10"/>
      <c r="D19" s="8"/>
      <c r="E19" s="10"/>
      <c r="F19" s="5"/>
      <c r="G19" s="10"/>
    </row>
    <row r="20" spans="3:7" ht="18">
      <c r="C20" s="10"/>
      <c r="D20" s="8"/>
      <c r="E20" s="10"/>
      <c r="F20" s="5"/>
      <c r="G20" s="10"/>
    </row>
    <row r="21" spans="3:7" ht="18">
      <c r="C21" s="10"/>
      <c r="D21" s="8"/>
      <c r="E21" s="10"/>
      <c r="F21" s="5"/>
      <c r="G21" s="10"/>
    </row>
    <row r="27" spans="3:7">
      <c r="E27" s="2"/>
      <c r="F27" s="2"/>
      <c r="G27" s="2"/>
    </row>
    <row r="28" spans="3:7" ht="18">
      <c r="C28" s="10"/>
      <c r="D28" s="8"/>
      <c r="E28" s="9"/>
      <c r="F28" s="4"/>
      <c r="G28" s="10"/>
    </row>
    <row r="29" spans="3:7" ht="18">
      <c r="C29" s="10"/>
      <c r="D29" s="8"/>
      <c r="E29" s="10"/>
      <c r="F29" s="5"/>
      <c r="G29" s="10"/>
    </row>
    <row r="30" spans="3:7" ht="18">
      <c r="C30" s="10"/>
      <c r="D30" s="8"/>
      <c r="E30" s="10"/>
      <c r="F30" s="5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2FB8-14CB-9B46-9DAB-27A504804547}">
  <dimension ref="A1:G35"/>
  <sheetViews>
    <sheetView topLeftCell="C1" workbookViewId="0">
      <selection activeCell="G2" sqref="G2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4.8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17">
      <c r="A2">
        <v>1</v>
      </c>
      <c r="B2">
        <v>1</v>
      </c>
      <c r="C2" s="11" t="s">
        <v>97</v>
      </c>
      <c r="D2" s="11" t="s">
        <v>98</v>
      </c>
      <c r="E2" s="11">
        <v>7.7108751145028402E-16</v>
      </c>
      <c r="F2" s="3">
        <v>2.45415370407854E-54</v>
      </c>
      <c r="G2" s="10"/>
    </row>
    <row r="3" spans="1:7" ht="18">
      <c r="A3">
        <v>2</v>
      </c>
      <c r="B3">
        <v>2</v>
      </c>
      <c r="C3" s="11" t="s">
        <v>99</v>
      </c>
      <c r="D3" s="11" t="s">
        <v>100</v>
      </c>
      <c r="E3" s="11">
        <v>0.61120521576144304</v>
      </c>
      <c r="F3" s="5">
        <v>0.19283512655684401</v>
      </c>
      <c r="G3" s="10"/>
    </row>
    <row r="4" spans="1:7" ht="17">
      <c r="A4">
        <v>3</v>
      </c>
      <c r="B4">
        <v>3</v>
      </c>
      <c r="C4" s="11" t="s">
        <v>101</v>
      </c>
      <c r="D4" s="11" t="s">
        <v>98</v>
      </c>
      <c r="E4" s="11">
        <v>-7.1645825427363698E-3</v>
      </c>
      <c r="F4">
        <v>-3.3040646100640003E-2</v>
      </c>
      <c r="G4" s="10"/>
    </row>
    <row r="5" spans="1:7" ht="18">
      <c r="A5">
        <v>4</v>
      </c>
      <c r="B5">
        <v>4</v>
      </c>
      <c r="C5" s="11" t="s">
        <v>102</v>
      </c>
      <c r="D5" s="11" t="s">
        <v>98</v>
      </c>
      <c r="E5" s="11">
        <v>-0.28196633900000001</v>
      </c>
      <c r="F5" s="5">
        <v>0.57749759425457003</v>
      </c>
      <c r="G5" s="10"/>
    </row>
    <row r="6" spans="1:7" ht="18">
      <c r="A6">
        <v>5</v>
      </c>
      <c r="B6">
        <v>5</v>
      </c>
      <c r="C6" s="11" t="s">
        <v>103</v>
      </c>
      <c r="D6" s="11" t="s">
        <v>98</v>
      </c>
      <c r="E6" s="11">
        <v>4021.5011695428002</v>
      </c>
      <c r="F6" s="5">
        <v>4310.9805594415402</v>
      </c>
      <c r="G6" s="10"/>
    </row>
    <row r="7" spans="1:7" ht="18">
      <c r="A7">
        <v>6</v>
      </c>
      <c r="B7">
        <v>6</v>
      </c>
      <c r="C7" s="11" t="s">
        <v>104</v>
      </c>
      <c r="D7" s="8" t="s">
        <v>108</v>
      </c>
      <c r="E7" s="11">
        <v>-0.12430862230397099</v>
      </c>
      <c r="F7" s="5">
        <v>-0.15947669058205399</v>
      </c>
      <c r="G7" s="10"/>
    </row>
    <row r="8" spans="1:7" ht="18">
      <c r="A8">
        <v>7</v>
      </c>
      <c r="B8">
        <v>7</v>
      </c>
      <c r="C8" s="11" t="s">
        <v>106</v>
      </c>
      <c r="D8" s="8" t="s">
        <v>105</v>
      </c>
      <c r="E8" s="11">
        <v>1.88380795677045</v>
      </c>
      <c r="F8" s="5">
        <v>1.8684324311018099</v>
      </c>
      <c r="G8" s="10"/>
    </row>
    <row r="9" spans="1:7" ht="18">
      <c r="A9">
        <v>8</v>
      </c>
      <c r="B9">
        <v>8</v>
      </c>
      <c r="C9" s="11" t="s">
        <v>107</v>
      </c>
      <c r="D9" s="8" t="s">
        <v>105</v>
      </c>
      <c r="E9" s="11">
        <v>9.9707717627203998</v>
      </c>
      <c r="F9" s="5">
        <v>9.9515462235145993</v>
      </c>
      <c r="G9" s="10"/>
    </row>
    <row r="13" spans="1:7">
      <c r="E13" s="2"/>
      <c r="F13" s="2"/>
      <c r="G13" s="2"/>
    </row>
    <row r="14" spans="1:7">
      <c r="C14" s="10"/>
      <c r="D14" s="11"/>
      <c r="E14" s="9"/>
      <c r="F14" s="3"/>
      <c r="G14" s="9"/>
    </row>
    <row r="15" spans="1:7" ht="18">
      <c r="C15" s="10"/>
      <c r="D15" s="11"/>
      <c r="E15" s="10"/>
      <c r="F15" s="5"/>
      <c r="G15" s="10"/>
    </row>
    <row r="16" spans="1:7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8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5360-05B9-BF46-ACA0-E371166E0A7A}">
  <dimension ref="A1:G35"/>
  <sheetViews>
    <sheetView topLeftCell="C1" workbookViewId="0">
      <selection activeCell="F4" sqref="F4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18">
      <c r="A2">
        <v>1</v>
      </c>
      <c r="B2">
        <v>1</v>
      </c>
      <c r="C2" s="11" t="s">
        <v>110</v>
      </c>
      <c r="D2" s="11" t="s">
        <v>109</v>
      </c>
      <c r="E2" s="11">
        <v>7.7108751145028402E-16</v>
      </c>
      <c r="F2" s="4">
        <v>1.55842898547174E-23</v>
      </c>
      <c r="G2" s="11">
        <v>2.1552763417276701E-4</v>
      </c>
    </row>
    <row r="3" spans="1:7" ht="34">
      <c r="A3">
        <v>2</v>
      </c>
      <c r="B3">
        <v>2</v>
      </c>
      <c r="C3" s="11" t="s">
        <v>111</v>
      </c>
      <c r="D3" s="11" t="s">
        <v>112</v>
      </c>
      <c r="E3" s="11">
        <v>0.61120521576144304</v>
      </c>
      <c r="F3" s="5">
        <v>0.147156885668869</v>
      </c>
      <c r="G3" s="11">
        <v>0.41421500528851501</v>
      </c>
    </row>
    <row r="4" spans="1:7" ht="18">
      <c r="A4">
        <v>3</v>
      </c>
      <c r="B4">
        <v>3</v>
      </c>
      <c r="C4" s="11" t="s">
        <v>113</v>
      </c>
      <c r="D4" s="11" t="s">
        <v>109</v>
      </c>
      <c r="E4" s="11">
        <v>-7.1645825427363698E-3</v>
      </c>
      <c r="F4" s="5">
        <v>-5.44952338148788E-2</v>
      </c>
      <c r="G4" s="11">
        <v>-4.6199868011901598E-3</v>
      </c>
    </row>
    <row r="5" spans="1:7" ht="18">
      <c r="A5">
        <v>4</v>
      </c>
      <c r="B5">
        <v>4</v>
      </c>
      <c r="C5" s="11" t="s">
        <v>119</v>
      </c>
      <c r="D5" s="11" t="s">
        <v>109</v>
      </c>
      <c r="E5" s="11">
        <v>0.57749759425457003</v>
      </c>
      <c r="F5" s="5">
        <v>0.38876268954520699</v>
      </c>
      <c r="G5" s="11">
        <v>0.64593201475483397</v>
      </c>
    </row>
    <row r="6" spans="1:7" ht="18">
      <c r="A6">
        <v>5</v>
      </c>
      <c r="B6">
        <v>5</v>
      </c>
      <c r="C6" s="11" t="s">
        <v>114</v>
      </c>
      <c r="D6" s="11" t="s">
        <v>109</v>
      </c>
      <c r="E6" s="11">
        <v>4310.9805594415402</v>
      </c>
      <c r="F6" s="5">
        <v>4158.7866946484401</v>
      </c>
      <c r="G6" s="11">
        <v>4196.1960363899398</v>
      </c>
    </row>
    <row r="7" spans="1:7" ht="18">
      <c r="A7">
        <v>6</v>
      </c>
      <c r="B7">
        <v>6</v>
      </c>
      <c r="C7" s="11" t="s">
        <v>116</v>
      </c>
      <c r="D7" s="8" t="s">
        <v>115</v>
      </c>
      <c r="E7" s="11">
        <v>-0.12430862230397099</v>
      </c>
      <c r="F7" s="5">
        <v>-0.28274379072022199</v>
      </c>
      <c r="G7" s="11">
        <v>-0.225240846153381</v>
      </c>
    </row>
    <row r="8" spans="1:7" ht="18">
      <c r="A8">
        <v>7</v>
      </c>
      <c r="B8">
        <v>7</v>
      </c>
      <c r="C8" s="11" t="s">
        <v>120</v>
      </c>
      <c r="D8" s="8" t="s">
        <v>117</v>
      </c>
      <c r="E8" s="11">
        <v>1.88380795677045</v>
      </c>
      <c r="F8" s="5">
        <v>1.4390676532540101</v>
      </c>
      <c r="G8" s="11">
        <v>1.7831573756904999</v>
      </c>
    </row>
    <row r="9" spans="1:7" ht="18">
      <c r="A9">
        <v>8</v>
      </c>
      <c r="B9">
        <v>8</v>
      </c>
      <c r="C9" s="11" t="s">
        <v>118</v>
      </c>
      <c r="D9" s="8" t="s">
        <v>117</v>
      </c>
      <c r="E9" s="11">
        <v>9.9707717627203998</v>
      </c>
      <c r="F9" s="5">
        <v>9.9534885233509005</v>
      </c>
      <c r="G9" s="11">
        <v>10.055621427000901</v>
      </c>
    </row>
    <row r="13" spans="1:7">
      <c r="E13" s="2"/>
      <c r="F13" s="2"/>
      <c r="G13" s="2"/>
    </row>
    <row r="14" spans="1:7">
      <c r="C14" s="10"/>
      <c r="D14" s="11"/>
      <c r="E14" s="9"/>
      <c r="F14" s="3"/>
      <c r="G14" s="10"/>
    </row>
    <row r="15" spans="1:7" ht="18">
      <c r="C15" s="10"/>
      <c r="D15" s="11"/>
      <c r="E15" s="10"/>
      <c r="F15" s="5"/>
      <c r="G15" s="10"/>
    </row>
    <row r="16" spans="1:7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11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FB90-2D9B-E248-9E12-5FBF92F46F8C}">
  <dimension ref="A1:G35"/>
  <sheetViews>
    <sheetView topLeftCell="C1" workbookViewId="0">
      <selection activeCell="G4" sqref="G4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7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7" ht="19">
      <c r="A2">
        <v>1</v>
      </c>
      <c r="B2">
        <v>1</v>
      </c>
      <c r="C2" s="15" t="s">
        <v>121</v>
      </c>
      <c r="D2" s="11" t="s">
        <v>127</v>
      </c>
      <c r="E2" s="11">
        <v>7.7108751145028402E-16</v>
      </c>
      <c r="F2" s="4">
        <v>5.2647530338544495E-57</v>
      </c>
      <c r="G2" s="11">
        <v>2.1552763417276701E-4</v>
      </c>
    </row>
    <row r="3" spans="1:7" ht="18">
      <c r="A3">
        <v>2</v>
      </c>
      <c r="B3">
        <v>2</v>
      </c>
      <c r="C3" s="16" t="s">
        <v>122</v>
      </c>
      <c r="D3" s="11" t="s">
        <v>127</v>
      </c>
      <c r="E3" s="11">
        <v>0.61120521576144304</v>
      </c>
      <c r="F3" s="5">
        <v>0.63564435544545905</v>
      </c>
      <c r="G3" s="11">
        <v>0.41421500528851501</v>
      </c>
    </row>
    <row r="4" spans="1:7" ht="18">
      <c r="A4">
        <v>3</v>
      </c>
      <c r="B4">
        <v>3</v>
      </c>
      <c r="C4" s="16" t="s">
        <v>123</v>
      </c>
      <c r="D4" s="11" t="s">
        <v>127</v>
      </c>
      <c r="E4" s="11">
        <v>-7.1645825427363698E-3</v>
      </c>
      <c r="F4" s="5">
        <v>-2.6296009521582001E-3</v>
      </c>
      <c r="G4" s="11">
        <v>-4.6199868011901598E-3</v>
      </c>
    </row>
    <row r="5" spans="1:7" ht="18">
      <c r="A5">
        <v>4</v>
      </c>
      <c r="B5">
        <v>4</v>
      </c>
      <c r="C5" s="16" t="s">
        <v>124</v>
      </c>
      <c r="D5" s="11" t="s">
        <v>127</v>
      </c>
      <c r="E5" s="11">
        <v>0.57749759425457003</v>
      </c>
      <c r="F5" s="5">
        <v>0.57701270290822404</v>
      </c>
      <c r="G5" s="11">
        <v>0.64593201475483397</v>
      </c>
    </row>
    <row r="6" spans="1:7" ht="18">
      <c r="A6">
        <v>5</v>
      </c>
      <c r="B6">
        <v>5</v>
      </c>
      <c r="C6" s="16" t="s">
        <v>125</v>
      </c>
      <c r="D6" s="11" t="s">
        <v>127</v>
      </c>
      <c r="E6" s="11">
        <v>4310.9805594415402</v>
      </c>
      <c r="F6" s="5">
        <v>4189.1605631845196</v>
      </c>
      <c r="G6" s="11">
        <v>4196.1960363899398</v>
      </c>
    </row>
    <row r="7" spans="1:7" ht="18">
      <c r="A7">
        <v>6</v>
      </c>
      <c r="B7">
        <v>6</v>
      </c>
      <c r="C7" s="17" t="s">
        <v>126</v>
      </c>
      <c r="D7" s="11" t="s">
        <v>127</v>
      </c>
      <c r="E7" s="11">
        <v>-0.12430862230397099</v>
      </c>
      <c r="F7" s="5">
        <v>-0.14749973636875199</v>
      </c>
      <c r="G7" s="11">
        <v>-0.225240846153381</v>
      </c>
    </row>
    <row r="8" spans="1:7" ht="18">
      <c r="A8">
        <v>7</v>
      </c>
      <c r="B8">
        <v>7</v>
      </c>
      <c r="C8" s="17" t="s">
        <v>128</v>
      </c>
      <c r="D8" s="11" t="s">
        <v>129</v>
      </c>
      <c r="E8" s="11">
        <v>1.88380795677045</v>
      </c>
      <c r="F8" s="5">
        <v>1.7512570814124699</v>
      </c>
      <c r="G8" s="11">
        <v>1.7831573756904999</v>
      </c>
    </row>
    <row r="9" spans="1:7" ht="18">
      <c r="A9">
        <v>8</v>
      </c>
      <c r="B9">
        <v>8</v>
      </c>
      <c r="C9" s="11" t="s">
        <v>130</v>
      </c>
      <c r="D9" s="11" t="s">
        <v>129</v>
      </c>
      <c r="E9" s="11">
        <v>9.9707717627203998</v>
      </c>
      <c r="F9" s="5">
        <v>6.4336900000000004</v>
      </c>
      <c r="G9" s="11">
        <v>10.055621427000901</v>
      </c>
    </row>
    <row r="13" spans="1:7">
      <c r="E13" s="2"/>
      <c r="F13" s="2"/>
      <c r="G13" s="2"/>
    </row>
    <row r="14" spans="1:7">
      <c r="C14" s="10"/>
      <c r="D14" s="11"/>
      <c r="E14" s="9"/>
      <c r="F14" s="3"/>
      <c r="G14" s="10"/>
    </row>
    <row r="15" spans="1:7" ht="18">
      <c r="C15" s="10"/>
      <c r="D15" s="11"/>
      <c r="E15" s="10"/>
      <c r="F15" s="5"/>
      <c r="G15" s="10"/>
    </row>
    <row r="16" spans="1:7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11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F4F33-0F72-E045-9A1C-A86F31202424}">
  <dimension ref="A1:H35"/>
  <sheetViews>
    <sheetView topLeftCell="C1" workbookViewId="0">
      <selection activeCell="H2" sqref="H2:H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22.83203125" bestFit="1" customWidth="1"/>
    <col min="8" max="8" width="17.83203125" bestFit="1" customWidth="1"/>
  </cols>
  <sheetData>
    <row r="1" spans="1:8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6" t="s">
        <v>16</v>
      </c>
      <c r="H1" s="2" t="s">
        <v>52</v>
      </c>
    </row>
    <row r="2" spans="1:8" ht="18">
      <c r="A2">
        <v>1</v>
      </c>
      <c r="B2">
        <v>1</v>
      </c>
      <c r="C2" s="5" t="s">
        <v>139</v>
      </c>
      <c r="D2" s="11" t="s">
        <v>138</v>
      </c>
      <c r="E2" s="5">
        <v>7.7108751145028402E-16</v>
      </c>
      <c r="F2" s="4">
        <v>1.7063022014990999E-17</v>
      </c>
      <c r="G2" s="7">
        <f>(ABS(E2 -F2)/MAX(ABS(E2),ABS(F2)) )* 100</f>
        <v>97.787148441439754</v>
      </c>
      <c r="H2" s="5">
        <v>-1.82610597959317E-4</v>
      </c>
    </row>
    <row r="3" spans="1:8" ht="18">
      <c r="A3">
        <v>2</v>
      </c>
      <c r="B3">
        <v>2</v>
      </c>
      <c r="C3" s="5" t="s">
        <v>140</v>
      </c>
      <c r="D3" s="11" t="s">
        <v>138</v>
      </c>
      <c r="E3" s="5">
        <v>0.63564435544545905</v>
      </c>
      <c r="F3" s="5">
        <v>0.72074952220389799</v>
      </c>
      <c r="G3" s="7">
        <f t="shared" ref="G3:G9" si="0">(ABS(E3 -F3)/MAX(ABS(E3),ABS(F3)) )* 100</f>
        <v>11.807870020947849</v>
      </c>
      <c r="H3" s="5">
        <v>0.680331821170302</v>
      </c>
    </row>
    <row r="4" spans="1:8" ht="18">
      <c r="A4">
        <v>3</v>
      </c>
      <c r="B4">
        <v>3</v>
      </c>
      <c r="C4" s="5" t="s">
        <v>141</v>
      </c>
      <c r="D4" s="11" t="s">
        <v>138</v>
      </c>
      <c r="E4" s="5">
        <v>-2.6296009521582001E-3</v>
      </c>
      <c r="F4" s="5">
        <v>-2.8096226155954401E-2</v>
      </c>
      <c r="G4" s="7">
        <f t="shared" si="0"/>
        <v>90.640732539800865</v>
      </c>
      <c r="H4" s="5">
        <v>-1.53417251817563E-2</v>
      </c>
    </row>
    <row r="5" spans="1:8" ht="18">
      <c r="A5">
        <v>4</v>
      </c>
      <c r="B5">
        <v>4</v>
      </c>
      <c r="C5" s="5" t="s">
        <v>137</v>
      </c>
      <c r="D5" s="11" t="s">
        <v>135</v>
      </c>
      <c r="E5" s="5">
        <v>0.57749759425457003</v>
      </c>
      <c r="F5" s="5">
        <v>-1.0498889373006599</v>
      </c>
      <c r="G5" s="7">
        <f t="shared" si="0"/>
        <v>155.00558904252847</v>
      </c>
      <c r="H5" s="5">
        <v>0.52942733383851404</v>
      </c>
    </row>
    <row r="6" spans="1:8" ht="18">
      <c r="A6">
        <v>5</v>
      </c>
      <c r="B6">
        <v>5</v>
      </c>
      <c r="C6" s="5" t="s">
        <v>136</v>
      </c>
      <c r="D6" s="11" t="s">
        <v>135</v>
      </c>
      <c r="E6" s="5">
        <v>4310.9805594415402</v>
      </c>
      <c r="F6" s="5">
        <v>4537.8399923503803</v>
      </c>
      <c r="G6" s="7">
        <f t="shared" si="0"/>
        <v>4.9992823301673521</v>
      </c>
      <c r="H6" s="5">
        <v>3773.9891608299399</v>
      </c>
    </row>
    <row r="7" spans="1:8" ht="18">
      <c r="A7">
        <v>6</v>
      </c>
      <c r="B7">
        <v>6</v>
      </c>
      <c r="C7" s="5" t="s">
        <v>134</v>
      </c>
      <c r="D7" s="8" t="s">
        <v>131</v>
      </c>
      <c r="E7" s="5">
        <v>-0.12430862230397099</v>
      </c>
      <c r="F7" s="5">
        <v>-0.222075655316051</v>
      </c>
      <c r="G7" s="7">
        <f t="shared" si="0"/>
        <v>44.024201064696207</v>
      </c>
      <c r="H7" s="5">
        <v>-0.22564673102918401</v>
      </c>
    </row>
    <row r="8" spans="1:8" ht="18">
      <c r="A8">
        <v>7</v>
      </c>
      <c r="B8">
        <v>7</v>
      </c>
      <c r="C8" s="5" t="s">
        <v>133</v>
      </c>
      <c r="D8" s="8" t="s">
        <v>131</v>
      </c>
      <c r="E8" s="5">
        <v>1.88380795677045</v>
      </c>
      <c r="F8" s="5">
        <v>1.92969449721477</v>
      </c>
      <c r="G8" s="7">
        <f t="shared" si="0"/>
        <v>2.3779173600044214</v>
      </c>
      <c r="H8" s="5">
        <v>1.79243618860138</v>
      </c>
    </row>
    <row r="9" spans="1:8" ht="18">
      <c r="A9">
        <v>8</v>
      </c>
      <c r="B9">
        <v>8</v>
      </c>
      <c r="C9" s="5" t="s">
        <v>132</v>
      </c>
      <c r="D9" s="8" t="s">
        <v>131</v>
      </c>
      <c r="E9" s="5">
        <v>9.9707717627203998</v>
      </c>
      <c r="F9" s="5">
        <v>9.9444201092011006</v>
      </c>
      <c r="G9" s="7">
        <f t="shared" si="0"/>
        <v>0.26428900536892258</v>
      </c>
      <c r="H9" s="5">
        <v>10.051246412332</v>
      </c>
    </row>
    <row r="13" spans="1:8">
      <c r="E13" s="2"/>
      <c r="F13" s="2"/>
      <c r="G13" s="6"/>
      <c r="H13" s="2"/>
    </row>
    <row r="14" spans="1:8" ht="18">
      <c r="C14" s="10"/>
      <c r="D14" s="11"/>
      <c r="E14" s="9"/>
      <c r="F14" s="3"/>
      <c r="G14" s="7"/>
      <c r="H14" s="10"/>
    </row>
    <row r="15" spans="1:8" ht="18">
      <c r="C15" s="10"/>
      <c r="D15" s="11"/>
      <c r="E15" s="10"/>
      <c r="F15" s="5"/>
      <c r="G15" s="7"/>
      <c r="H15" s="10"/>
    </row>
    <row r="16" spans="1:8" ht="18">
      <c r="C16" s="10"/>
      <c r="D16" s="11"/>
      <c r="E16" s="10"/>
      <c r="G16" s="7"/>
      <c r="H16" s="10"/>
    </row>
    <row r="17" spans="3:8" ht="18">
      <c r="C17" s="10"/>
      <c r="D17" s="11"/>
      <c r="E17" s="10"/>
      <c r="F17" s="5"/>
      <c r="G17" s="7"/>
      <c r="H17" s="10"/>
    </row>
    <row r="18" spans="3:8" ht="18">
      <c r="C18" s="10"/>
      <c r="D18" s="11"/>
      <c r="E18" s="10"/>
      <c r="F18" s="5"/>
      <c r="G18" s="7"/>
      <c r="H18" s="10"/>
    </row>
    <row r="19" spans="3:8" ht="18">
      <c r="C19" s="10"/>
      <c r="D19" s="11"/>
      <c r="E19" s="10"/>
      <c r="F19" s="5"/>
      <c r="G19" s="7"/>
      <c r="H19" s="10"/>
    </row>
    <row r="20" spans="3:8" ht="18">
      <c r="C20" s="10"/>
      <c r="D20" s="11"/>
      <c r="E20" s="10"/>
      <c r="F20" s="5"/>
      <c r="G20" s="7"/>
      <c r="H20" s="10"/>
    </row>
    <row r="21" spans="3:8" ht="18">
      <c r="C21" s="10"/>
      <c r="D21" s="11"/>
      <c r="E21" s="10"/>
      <c r="F21" s="5"/>
      <c r="G21" s="7"/>
      <c r="H21" s="10"/>
    </row>
    <row r="27" spans="3:8">
      <c r="E27" s="2"/>
      <c r="F27" s="2"/>
      <c r="G27" s="6"/>
      <c r="H27" s="2"/>
    </row>
    <row r="28" spans="3:8" ht="18">
      <c r="C28" s="10"/>
      <c r="D28" s="8"/>
      <c r="E28" s="9"/>
      <c r="F28" s="3"/>
      <c r="G28" s="7"/>
      <c r="H28" s="10"/>
    </row>
    <row r="29" spans="3:8" ht="18">
      <c r="C29" s="10"/>
      <c r="D29" s="8"/>
      <c r="E29" s="10"/>
      <c r="F29" s="5"/>
      <c r="G29" s="7"/>
      <c r="H29" s="10"/>
    </row>
    <row r="30" spans="3:8" ht="18">
      <c r="C30" s="10"/>
      <c r="D30" s="8"/>
      <c r="E30" s="10"/>
      <c r="G30" s="7"/>
      <c r="H30" s="10"/>
    </row>
    <row r="31" spans="3:8" ht="18">
      <c r="C31" s="10"/>
      <c r="D31" s="8"/>
      <c r="E31" s="10"/>
      <c r="F31" s="5"/>
      <c r="G31" s="7"/>
      <c r="H31" s="10"/>
    </row>
    <row r="32" spans="3:8" ht="18">
      <c r="C32" s="10"/>
      <c r="D32" s="8"/>
      <c r="E32" s="10"/>
      <c r="F32" s="5"/>
      <c r="G32" s="7"/>
      <c r="H32" s="10"/>
    </row>
    <row r="33" spans="3:8" ht="18">
      <c r="C33" s="10"/>
      <c r="D33" s="8"/>
      <c r="E33" s="10"/>
      <c r="F33" s="5"/>
      <c r="G33" s="7"/>
      <c r="H33" s="10"/>
    </row>
    <row r="34" spans="3:8" ht="18">
      <c r="C34" s="10"/>
      <c r="D34" s="8"/>
      <c r="E34" s="10"/>
      <c r="F34" s="5"/>
      <c r="G34" s="7"/>
      <c r="H34" s="10"/>
    </row>
    <row r="35" spans="3:8" ht="18">
      <c r="C35" s="10"/>
      <c r="D35" s="8"/>
      <c r="E35" s="10"/>
      <c r="F35" s="5"/>
      <c r="G35" s="7"/>
      <c r="H35" s="1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6397-1792-FC49-8FB0-C74C348251FE}">
  <dimension ref="A1:H35"/>
  <sheetViews>
    <sheetView topLeftCell="C1" workbookViewId="0">
      <selection activeCell="G2" sqref="G2:G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8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8" ht="34">
      <c r="A2">
        <v>1</v>
      </c>
      <c r="B2">
        <v>1</v>
      </c>
      <c r="C2" s="5" t="s">
        <v>143</v>
      </c>
      <c r="D2" s="11" t="s">
        <v>142</v>
      </c>
      <c r="E2" s="5">
        <v>7.7108751145028402E-16</v>
      </c>
      <c r="F2" s="4">
        <v>5.3199374410186903E-77</v>
      </c>
      <c r="G2" s="5">
        <v>-1.4302305791296299E-4</v>
      </c>
    </row>
    <row r="3" spans="1:8" ht="34">
      <c r="A3">
        <v>2</v>
      </c>
      <c r="B3">
        <v>2</v>
      </c>
      <c r="C3" s="5" t="s">
        <v>140</v>
      </c>
      <c r="D3" s="11" t="s">
        <v>142</v>
      </c>
      <c r="E3" s="5">
        <v>0.72074952220389799</v>
      </c>
      <c r="F3" s="5">
        <v>0.59041015345404801</v>
      </c>
      <c r="G3" s="5">
        <v>0.680331821170302</v>
      </c>
    </row>
    <row r="4" spans="1:8" ht="34">
      <c r="A4">
        <v>3</v>
      </c>
      <c r="B4">
        <v>3</v>
      </c>
      <c r="C4" s="5" t="s">
        <v>141</v>
      </c>
      <c r="D4" s="11" t="s">
        <v>142</v>
      </c>
      <c r="E4" s="5">
        <v>-2.6296009521582001E-3</v>
      </c>
      <c r="F4" s="5">
        <v>-2.4594206281152501E-2</v>
      </c>
      <c r="G4" s="5">
        <v>-1.53417251817563E-2</v>
      </c>
    </row>
    <row r="5" spans="1:8" ht="34">
      <c r="A5">
        <v>4</v>
      </c>
      <c r="B5">
        <v>4</v>
      </c>
      <c r="C5" s="5" t="s">
        <v>145</v>
      </c>
      <c r="D5" s="11" t="s">
        <v>144</v>
      </c>
      <c r="E5" s="5">
        <v>0.57749759425457003</v>
      </c>
      <c r="F5" s="5">
        <v>0.32777233146964202</v>
      </c>
      <c r="G5" s="5">
        <v>1.03862596115182</v>
      </c>
    </row>
    <row r="6" spans="1:8" ht="18">
      <c r="A6">
        <v>5</v>
      </c>
      <c r="B6">
        <v>5</v>
      </c>
      <c r="C6" s="5" t="s">
        <v>147</v>
      </c>
      <c r="D6" s="11" t="s">
        <v>146</v>
      </c>
      <c r="E6" s="5">
        <v>4537.8399923503803</v>
      </c>
      <c r="F6" s="5">
        <v>4427.0201211809099</v>
      </c>
      <c r="G6" s="5">
        <v>4531.9910287256898</v>
      </c>
    </row>
    <row r="7" spans="1:8" ht="18">
      <c r="A7">
        <v>6</v>
      </c>
      <c r="B7">
        <v>6</v>
      </c>
      <c r="C7" s="5" t="s">
        <v>149</v>
      </c>
      <c r="D7" s="8" t="s">
        <v>148</v>
      </c>
      <c r="E7" s="5">
        <v>-0.12430862230397099</v>
      </c>
      <c r="F7" s="5">
        <v>-0.31585929101590399</v>
      </c>
      <c r="G7" s="5">
        <v>-0.24925084580634199</v>
      </c>
    </row>
    <row r="8" spans="1:8" ht="18">
      <c r="A8">
        <v>7</v>
      </c>
      <c r="B8">
        <v>7</v>
      </c>
      <c r="C8" s="5" t="s">
        <v>151</v>
      </c>
      <c r="D8" s="8" t="s">
        <v>150</v>
      </c>
      <c r="E8" s="5">
        <v>1.92969449721477</v>
      </c>
      <c r="F8" s="5">
        <v>2.2490463956487199</v>
      </c>
      <c r="G8" s="5">
        <v>1.82254519575486</v>
      </c>
    </row>
    <row r="9" spans="1:8" ht="18">
      <c r="A9">
        <v>8</v>
      </c>
      <c r="B9">
        <v>8</v>
      </c>
      <c r="C9" s="5" t="s">
        <v>153</v>
      </c>
      <c r="D9" s="8" t="s">
        <v>152</v>
      </c>
      <c r="E9" s="5">
        <v>9.9707717627203998</v>
      </c>
      <c r="F9" s="5">
        <v>9.9354315173545995</v>
      </c>
      <c r="G9" s="5">
        <v>10.0604203159638</v>
      </c>
    </row>
    <row r="13" spans="1:8">
      <c r="E13" s="2"/>
      <c r="F13" s="2"/>
      <c r="G13" s="2"/>
    </row>
    <row r="14" spans="1:8">
      <c r="C14" s="10"/>
      <c r="D14" s="11"/>
      <c r="E14" s="9"/>
      <c r="F14" s="3"/>
      <c r="G14" s="10"/>
      <c r="H14" s="3"/>
    </row>
    <row r="15" spans="1:8" ht="18">
      <c r="C15" s="10"/>
      <c r="D15" s="11"/>
      <c r="E15" s="10"/>
      <c r="F15" s="5"/>
      <c r="G15" s="10"/>
    </row>
    <row r="16" spans="1:8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11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3DB47-A948-6147-8853-803046178ACE}">
  <dimension ref="A1:H35"/>
  <sheetViews>
    <sheetView topLeftCell="C1" workbookViewId="0">
      <selection activeCell="D4" sqref="D4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8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8" ht="34">
      <c r="A2">
        <v>1</v>
      </c>
      <c r="B2">
        <v>1</v>
      </c>
      <c r="C2" s="11" t="s">
        <v>155</v>
      </c>
      <c r="D2" s="11" t="s">
        <v>154</v>
      </c>
      <c r="E2" s="11">
        <v>7.7108751145028402E-16</v>
      </c>
      <c r="F2" s="4">
        <v>-8.8469843398183902E-47</v>
      </c>
      <c r="G2" s="11">
        <v>-1.64992914839572E-4</v>
      </c>
    </row>
    <row r="3" spans="1:8" ht="34">
      <c r="A3">
        <v>2</v>
      </c>
      <c r="B3">
        <v>2</v>
      </c>
      <c r="C3" s="11" t="s">
        <v>79</v>
      </c>
      <c r="D3" s="11" t="s">
        <v>154</v>
      </c>
      <c r="E3" s="11">
        <v>0.72074952220389799</v>
      </c>
      <c r="F3" s="5">
        <v>0.597187708224443</v>
      </c>
      <c r="G3" s="11">
        <v>0.51966319858133303</v>
      </c>
    </row>
    <row r="4" spans="1:8" ht="34">
      <c r="A4">
        <v>3</v>
      </c>
      <c r="B4">
        <v>3</v>
      </c>
      <c r="C4" s="11" t="s">
        <v>156</v>
      </c>
      <c r="D4" s="11" t="s">
        <v>154</v>
      </c>
      <c r="E4" s="11">
        <v>-2.6296009521582001E-3</v>
      </c>
      <c r="F4" s="5">
        <v>-2.2017116100763998E-3</v>
      </c>
      <c r="G4" s="11">
        <v>-3.1325207106162899E-2</v>
      </c>
    </row>
    <row r="5" spans="1:8" ht="34">
      <c r="A5">
        <v>4</v>
      </c>
      <c r="B5">
        <v>4</v>
      </c>
      <c r="C5" s="11" t="s">
        <v>158</v>
      </c>
      <c r="D5" s="11" t="s">
        <v>157</v>
      </c>
      <c r="E5" s="11">
        <v>0.57749759425457003</v>
      </c>
      <c r="F5" s="5">
        <v>-0.31259582502495598</v>
      </c>
      <c r="G5" s="11">
        <v>0.41872687865768998</v>
      </c>
    </row>
    <row r="6" spans="1:8" ht="34">
      <c r="A6">
        <v>5</v>
      </c>
      <c r="B6">
        <v>5</v>
      </c>
      <c r="C6" s="11" t="s">
        <v>162</v>
      </c>
      <c r="D6" s="11" t="s">
        <v>159</v>
      </c>
      <c r="E6" s="11">
        <v>4537.8399923503803</v>
      </c>
      <c r="F6" s="5">
        <v>5012.3175754481999</v>
      </c>
      <c r="G6" s="11">
        <v>4421.1522667277904</v>
      </c>
    </row>
    <row r="7" spans="1:8" ht="18">
      <c r="A7">
        <v>6</v>
      </c>
      <c r="B7">
        <v>6</v>
      </c>
      <c r="C7" s="11" t="s">
        <v>163</v>
      </c>
      <c r="D7" s="8" t="s">
        <v>160</v>
      </c>
      <c r="E7" s="11">
        <v>-0.12430862230397099</v>
      </c>
      <c r="F7" s="5">
        <v>-0.19742098512742601</v>
      </c>
      <c r="G7" s="11">
        <v>-0.24964000789294799</v>
      </c>
    </row>
    <row r="8" spans="1:8" ht="18">
      <c r="A8">
        <v>7</v>
      </c>
      <c r="B8">
        <v>7</v>
      </c>
      <c r="C8" s="11" t="s">
        <v>164</v>
      </c>
      <c r="D8" s="8" t="s">
        <v>150</v>
      </c>
      <c r="E8" s="11">
        <v>2.2490463956487199</v>
      </c>
      <c r="F8" s="5">
        <v>1.7333957368055199</v>
      </c>
      <c r="G8" s="11">
        <v>2.0903271465819602</v>
      </c>
    </row>
    <row r="9" spans="1:8" ht="18">
      <c r="A9">
        <v>8</v>
      </c>
      <c r="B9">
        <v>8</v>
      </c>
      <c r="C9" s="11" t="s">
        <v>165</v>
      </c>
      <c r="D9" s="8" t="s">
        <v>161</v>
      </c>
      <c r="E9" s="11">
        <v>9.9707717627203998</v>
      </c>
      <c r="F9" s="5">
        <v>9.9266159737059994</v>
      </c>
      <c r="G9" s="11">
        <v>10.046887488720801</v>
      </c>
    </row>
    <row r="10" spans="1:8">
      <c r="G10" s="11"/>
    </row>
    <row r="13" spans="1:8">
      <c r="E13" s="2"/>
      <c r="F13" s="2"/>
      <c r="G13" s="2"/>
    </row>
    <row r="14" spans="1:8">
      <c r="C14" s="10"/>
      <c r="D14" s="11"/>
      <c r="E14" s="9"/>
      <c r="F14" s="3"/>
      <c r="G14" s="10"/>
      <c r="H14" s="3"/>
    </row>
    <row r="15" spans="1:8" ht="18">
      <c r="C15" s="10"/>
      <c r="D15" s="11"/>
      <c r="E15" s="10"/>
      <c r="F15" s="5"/>
      <c r="G15" s="10"/>
    </row>
    <row r="16" spans="1:8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11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D8A9-3E24-4046-BF46-D0943D31A1F9}">
  <dimension ref="A1:H35"/>
  <sheetViews>
    <sheetView topLeftCell="C1" zoomScale="93" zoomScaleNormal="93" workbookViewId="0">
      <selection activeCell="G2" sqref="G2:G9"/>
    </sheetView>
  </sheetViews>
  <sheetFormatPr baseColWidth="10" defaultRowHeight="16"/>
  <cols>
    <col min="2" max="2" width="8.33203125" bestFit="1" customWidth="1"/>
    <col min="3" max="3" width="86.33203125" bestFit="1" customWidth="1"/>
    <col min="4" max="4" width="27.33203125" bestFit="1" customWidth="1"/>
    <col min="5" max="5" width="28" bestFit="1" customWidth="1"/>
    <col min="6" max="6" width="19" bestFit="1" customWidth="1"/>
    <col min="7" max="7" width="17.83203125" bestFit="1" customWidth="1"/>
  </cols>
  <sheetData>
    <row r="1" spans="1:8">
      <c r="A1" t="s">
        <v>35</v>
      </c>
      <c r="B1" t="s">
        <v>0</v>
      </c>
      <c r="C1" t="s">
        <v>36</v>
      </c>
      <c r="D1" t="s">
        <v>37</v>
      </c>
      <c r="E1" s="2" t="s">
        <v>14</v>
      </c>
      <c r="F1" s="2" t="s">
        <v>15</v>
      </c>
      <c r="G1" s="2" t="s">
        <v>52</v>
      </c>
    </row>
    <row r="2" spans="1:8" ht="18">
      <c r="A2">
        <v>1</v>
      </c>
      <c r="B2">
        <v>1</v>
      </c>
      <c r="C2" s="11" t="s">
        <v>167</v>
      </c>
      <c r="D2" s="11" t="s">
        <v>175</v>
      </c>
      <c r="E2" s="11">
        <v>7.7108751145028402E-16</v>
      </c>
      <c r="F2" s="5">
        <v>-3.26958667099008E-6</v>
      </c>
      <c r="G2" s="5">
        <v>-1.57085679732988E-4</v>
      </c>
    </row>
    <row r="3" spans="1:8" ht="18">
      <c r="A3">
        <v>2</v>
      </c>
      <c r="B3">
        <v>2</v>
      </c>
      <c r="C3" s="11" t="s">
        <v>168</v>
      </c>
      <c r="D3" s="11" t="s">
        <v>176</v>
      </c>
      <c r="E3" s="11">
        <v>0.72074952220389799</v>
      </c>
      <c r="F3" s="5">
        <v>0.54889767782736798</v>
      </c>
      <c r="G3" s="5">
        <v>0.53679839018745301</v>
      </c>
    </row>
    <row r="4" spans="1:8" ht="18">
      <c r="A4">
        <v>3</v>
      </c>
      <c r="B4">
        <v>3</v>
      </c>
      <c r="C4" s="11" t="s">
        <v>169</v>
      </c>
      <c r="D4" s="11" t="s">
        <v>176</v>
      </c>
      <c r="E4" s="11">
        <v>-2.2017116100763998E-3</v>
      </c>
      <c r="F4" s="5">
        <v>-3.7233804900177699E-3</v>
      </c>
      <c r="G4" s="5">
        <v>-2.83124442078737E-2</v>
      </c>
    </row>
    <row r="5" spans="1:8" ht="34">
      <c r="A5">
        <v>4</v>
      </c>
      <c r="B5">
        <v>4</v>
      </c>
      <c r="C5" s="11" t="s">
        <v>170</v>
      </c>
      <c r="D5" s="11" t="s">
        <v>177</v>
      </c>
      <c r="E5" s="11">
        <v>0.57749759425457003</v>
      </c>
      <c r="F5" s="5">
        <v>0.50649766168326205</v>
      </c>
      <c r="G5" s="5">
        <v>0.77182579195558798</v>
      </c>
    </row>
    <row r="6" spans="1:8" ht="34">
      <c r="A6">
        <v>5</v>
      </c>
      <c r="B6">
        <v>5</v>
      </c>
      <c r="C6" s="11" t="s">
        <v>171</v>
      </c>
      <c r="D6" s="11" t="s">
        <v>159</v>
      </c>
      <c r="E6" s="11">
        <v>5012.3175754481999</v>
      </c>
      <c r="F6" s="5">
        <v>7044.7812358493502</v>
      </c>
      <c r="G6" s="5">
        <v>4995.9882538592301</v>
      </c>
    </row>
    <row r="7" spans="1:8" ht="18">
      <c r="A7">
        <v>6</v>
      </c>
      <c r="B7">
        <v>6</v>
      </c>
      <c r="C7" s="11" t="s">
        <v>172</v>
      </c>
      <c r="D7" s="8" t="s">
        <v>160</v>
      </c>
      <c r="E7" s="11">
        <v>-0.12430862230397099</v>
      </c>
      <c r="F7" s="5">
        <v>-0.17949966152587599</v>
      </c>
      <c r="G7" s="5">
        <v>-0.249796488700395</v>
      </c>
    </row>
    <row r="8" spans="1:8" ht="18">
      <c r="A8">
        <v>7</v>
      </c>
      <c r="B8">
        <v>7</v>
      </c>
      <c r="C8" s="11" t="s">
        <v>173</v>
      </c>
      <c r="D8" s="8" t="s">
        <v>150</v>
      </c>
      <c r="E8" s="11">
        <v>2.2490463956487199</v>
      </c>
      <c r="F8" s="5">
        <v>2.0615730103248202</v>
      </c>
      <c r="G8" s="5">
        <v>1.8316832876956699</v>
      </c>
    </row>
    <row r="9" spans="1:8" ht="18">
      <c r="A9">
        <v>8</v>
      </c>
      <c r="B9">
        <v>8</v>
      </c>
      <c r="C9" s="11" t="s">
        <v>174</v>
      </c>
      <c r="D9" s="8" t="s">
        <v>161</v>
      </c>
      <c r="E9" s="11">
        <v>9.9707717627203998</v>
      </c>
      <c r="F9" s="5">
        <v>9.9207836001636007</v>
      </c>
      <c r="G9" s="5">
        <v>10.0282678476926</v>
      </c>
    </row>
    <row r="10" spans="1:8">
      <c r="G10" s="11"/>
    </row>
    <row r="13" spans="1:8">
      <c r="E13" s="2"/>
      <c r="F13" s="2"/>
      <c r="G13" s="2"/>
    </row>
    <row r="14" spans="1:8">
      <c r="C14" s="10"/>
      <c r="D14" s="11"/>
      <c r="E14" s="9"/>
      <c r="F14" s="3"/>
      <c r="G14" s="10"/>
      <c r="H14" s="3"/>
    </row>
    <row r="15" spans="1:8" ht="18">
      <c r="C15" s="10"/>
      <c r="D15" s="11"/>
      <c r="E15" s="10"/>
      <c r="F15" s="5"/>
      <c r="G15" s="10"/>
    </row>
    <row r="16" spans="1:8">
      <c r="C16" s="10"/>
      <c r="D16" s="11"/>
      <c r="E16" s="10"/>
      <c r="G16" s="10"/>
    </row>
    <row r="17" spans="3:7" ht="18">
      <c r="C17" s="10"/>
      <c r="D17" s="11"/>
      <c r="E17" s="10"/>
      <c r="F17" s="5"/>
      <c r="G17" s="10"/>
    </row>
    <row r="18" spans="3:7" ht="18">
      <c r="C18" s="10"/>
      <c r="D18" s="11"/>
      <c r="E18" s="10"/>
      <c r="F18" s="5"/>
      <c r="G18" s="10"/>
    </row>
    <row r="19" spans="3:7" ht="18">
      <c r="C19" s="10"/>
      <c r="D19" s="11"/>
      <c r="E19" s="10"/>
      <c r="F19" s="5"/>
      <c r="G19" s="10"/>
    </row>
    <row r="20" spans="3:7" ht="18">
      <c r="C20" s="10"/>
      <c r="D20" s="11"/>
      <c r="E20" s="10"/>
      <c r="F20" s="5"/>
      <c r="G20" s="10"/>
    </row>
    <row r="21" spans="3:7" ht="18">
      <c r="C21" s="10"/>
      <c r="D21" s="11"/>
      <c r="E21" s="10"/>
      <c r="F21" s="5"/>
      <c r="G21" s="10"/>
    </row>
    <row r="27" spans="3:7">
      <c r="E27" s="2"/>
      <c r="F27" s="2"/>
      <c r="G27" s="2"/>
    </row>
    <row r="28" spans="3:7">
      <c r="C28" s="10"/>
      <c r="D28" s="8"/>
      <c r="E28" s="9"/>
      <c r="F28" s="3"/>
      <c r="G28" s="10"/>
    </row>
    <row r="29" spans="3:7" ht="18">
      <c r="C29" s="10"/>
      <c r="D29" s="8"/>
      <c r="E29" s="10"/>
      <c r="F29" s="5"/>
      <c r="G29" s="10"/>
    </row>
    <row r="30" spans="3:7">
      <c r="C30" s="10"/>
      <c r="D30" s="8"/>
      <c r="E30" s="10"/>
      <c r="G30" s="10"/>
    </row>
    <row r="31" spans="3:7" ht="18">
      <c r="C31" s="10"/>
      <c r="D31" s="8"/>
      <c r="E31" s="10"/>
      <c r="F31" s="5"/>
      <c r="G31" s="10"/>
    </row>
    <row r="32" spans="3:7" ht="18">
      <c r="C32" s="10"/>
      <c r="D32" s="8"/>
      <c r="E32" s="10"/>
      <c r="F32" s="5"/>
      <c r="G32" s="10"/>
    </row>
    <row r="33" spans="3:7" ht="18">
      <c r="C33" s="10"/>
      <c r="D33" s="8"/>
      <c r="E33" s="10"/>
      <c r="F33" s="5"/>
      <c r="G33" s="10"/>
    </row>
    <row r="34" spans="3:7" ht="18">
      <c r="C34" s="10"/>
      <c r="D34" s="8"/>
      <c r="E34" s="10"/>
      <c r="F34" s="5"/>
      <c r="G34" s="10"/>
    </row>
    <row r="35" spans="3:7" ht="18">
      <c r="C35" s="10"/>
      <c r="D35" s="8"/>
      <c r="E35" s="10"/>
      <c r="F35" s="5"/>
      <c r="G3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Week1</vt:lpstr>
      <vt:lpstr>Week2</vt:lpstr>
      <vt:lpstr>Week3</vt:lpstr>
      <vt:lpstr>Week4</vt:lpstr>
      <vt:lpstr>Week5</vt:lpstr>
      <vt:lpstr>Week6</vt:lpstr>
      <vt:lpstr>Week7</vt:lpstr>
      <vt:lpstr>Week8</vt:lpstr>
      <vt:lpstr>Week9</vt:lpstr>
      <vt:lpstr>Week10</vt:lpstr>
      <vt:lpstr>Week11</vt:lpstr>
      <vt:lpstr>Week12</vt:lpstr>
      <vt:lpstr>Week13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Naresh Panta</dc:creator>
  <cp:lastModifiedBy>Naresh Panta</cp:lastModifiedBy>
  <dcterms:created xsi:type="dcterms:W3CDTF">2025-10-08T04:57:09Z</dcterms:created>
  <dcterms:modified xsi:type="dcterms:W3CDTF">2026-01-24T16:18:42Z</dcterms:modified>
</cp:coreProperties>
</file>